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P&amp;L" sheetId="2" state="visible" r:id="rId2"/>
    <sheet name="Сверка с банком" sheetId="3" state="visible" r:id="rId3"/>
    <sheet name="Категория × Месяц" sheetId="4" state="visible" r:id="rId4"/>
    <sheet name="Клиенты" sheetId="5" state="visible" r:id="rId5"/>
    <sheet name="Расходы" sheetId="6" state="visible" r:id="rId6"/>
    <sheet name="Операци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₽&quot;;[Red](#,##0.00\ &quot;₽&quot;);0.00\ &quot;₽&quot;"/>
    <numFmt numFmtId="165" formatCode="+0.0%;-0.0%;0.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name val="Calibri"/>
      <color rgb="005E6B7A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B2545"/>
      <sz val="11"/>
    </font>
    <font>
      <name val="Calibri"/>
      <b val="1"/>
      <color rgb="000B2545"/>
      <sz val="11"/>
    </font>
    <font>
      <name val="Calibri"/>
      <color rgb="005E6B7A"/>
      <sz val="9"/>
    </font>
  </fonts>
  <fills count="5">
    <fill>
      <patternFill/>
    </fill>
    <fill>
      <patternFill patternType="gray125"/>
    </fill>
    <fill>
      <patternFill patternType="solid">
        <fgColor rgb="00B43E3E"/>
      </patternFill>
    </fill>
    <fill>
      <patternFill patternType="solid">
        <fgColor rgb="000B2545"/>
      </patternFill>
    </fill>
    <fill>
      <patternFill patternType="solid">
        <fgColor rgb="00F4F1EA"/>
      </patternFill>
    </fill>
  </fills>
  <borders count="3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  <border>
      <left style="thin">
        <color rgb="00D6D3CC"/>
      </left>
      <right style="thin">
        <color rgb="00D6D3CC"/>
      </right>
      <top style="medium">
        <color rgb="000B2545"/>
      </top>
      <bottom style="medium">
        <color rgb="000B254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3" borderId="2" pivotButton="0" quotePrefix="0" xfId="0"/>
    <xf numFmtId="0" fontId="4" fillId="3" borderId="2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Операции" displayName="Операции" ref="A4:L161" headerRowCount="1">
  <autoFilter ref="A4:L161"/>
  <tableColumns count="12">
    <tableColumn id="1" name="Дата опер."/>
    <tableColumn id="2" name="№ док."/>
    <tableColumn id="3" name="Контрагент"/>
    <tableColumn id="4" name="ИНН"/>
    <tableColumn id="5" name="Сторона"/>
    <tableColumn id="6" name="Категория"/>
    <tableColumn id="7" name="Дебет, ₽"/>
    <tableColumn id="8" name="Кредит, ₽"/>
    <tableColumn id="9" name="НДС, ставка"/>
    <tableColumn id="10" name="НДС, сумма ₽"/>
    <tableColumn id="11" name="Нетто, ₽"/>
    <tableColumn id="12" name="Назначение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Сводка для руководителя</t>
        </is>
      </c>
    </row>
    <row r="2">
      <c r="A2" s="2" t="inlineStr">
        <is>
          <t>ООО «ТЕХСОЛ» · 2026-01-01 – 2026-04-30 · P&amp;L по кассовому методу (RUB)</t>
        </is>
      </c>
    </row>
    <row r="4" ht="22" customHeight="1">
      <c r="A4" s="3" t="inlineStr">
        <is>
          <t>ВНЕ КУРСА — кассовый убыток, концентрация клиентов критическая</t>
        </is>
      </c>
    </row>
    <row r="6">
      <c r="A6" s="4" t="inlineStr">
        <is>
          <t>Показатель</t>
        </is>
      </c>
      <c r="B6" s="5" t="inlineStr">
        <is>
          <t>Значение</t>
        </is>
      </c>
    </row>
    <row r="7">
      <c r="A7" s="6" t="inlineStr">
        <is>
          <t>Выручка (нетто)</t>
        </is>
      </c>
      <c r="B7" s="7" t="n">
        <v>3257677.32</v>
      </c>
    </row>
    <row r="8">
      <c r="A8" s="6" t="inlineStr">
        <is>
          <t>Валовая прибыль</t>
        </is>
      </c>
      <c r="B8" s="7" t="n">
        <v>2282677.32</v>
      </c>
    </row>
    <row r="9">
      <c r="A9" s="6" t="inlineStr">
        <is>
          <t>EBIT</t>
        </is>
      </c>
      <c r="B9" s="7" t="n">
        <v>-903863.04</v>
      </c>
    </row>
    <row r="10">
      <c r="A10" s="6" t="inlineStr">
        <is>
          <t>Чистый результат</t>
        </is>
      </c>
      <c r="B10" s="7" t="n">
        <v>-1290295.36</v>
      </c>
    </row>
    <row r="11">
      <c r="A11" s="6" t="inlineStr">
        <is>
          <t>Валовая маржа</t>
        </is>
      </c>
      <c r="B11" s="8" t="n">
        <v>0.700707005566776</v>
      </c>
    </row>
    <row r="12">
      <c r="A12" s="6" t="inlineStr">
        <is>
          <t>Операционная маржа</t>
        </is>
      </c>
      <c r="B12" s="8" t="n">
        <v>-0.2774562828708891</v>
      </c>
    </row>
    <row r="13">
      <c r="A13" s="6" t="inlineStr">
        <is>
          <t>Чистая маржа</t>
        </is>
      </c>
      <c r="B13" s="8" t="n">
        <v>-0.3960783199976356</v>
      </c>
    </row>
    <row r="14">
      <c r="A14" s="6" t="inlineStr">
        <is>
          <t>Месяцев в периоде</t>
        </is>
      </c>
      <c r="B14" s="9" t="n">
        <v>4</v>
      </c>
    </row>
    <row r="15">
      <c r="A15" s="6" t="inlineStr">
        <is>
          <t>Burn / месяц</t>
        </is>
      </c>
      <c r="B15" s="7" t="n">
        <v>322573.84</v>
      </c>
    </row>
    <row r="16">
      <c r="A16" s="6" t="inlineStr">
        <is>
          <t>Запас кэша (мес)</t>
        </is>
      </c>
      <c r="B16" s="10" t="n">
        <v>0.02966170474332326</v>
      </c>
    </row>
    <row r="17">
      <c r="A17" s="6" t="inlineStr">
        <is>
          <t>Топ-1 клиент, %</t>
        </is>
      </c>
      <c r="B17" s="8" t="n">
        <v>0.786205576226535</v>
      </c>
    </row>
    <row r="18">
      <c r="A18" s="6" t="inlineStr">
        <is>
          <t>HHI клиентов</t>
        </is>
      </c>
      <c r="B18" s="9" t="n">
        <v>6418.900524958941</v>
      </c>
    </row>
    <row r="21">
      <c r="A21" s="11" t="inlineStr">
        <is>
          <t>Топ-3 драйвера</t>
        </is>
      </c>
    </row>
    <row r="22" ht="30" customHeight="1">
      <c r="A22" s="12" t="inlineStr">
        <is>
          <t>• Один клиент = 78.6% выручки: «ООО "ЭЛИОН"» (3 096 000.00 ₽ из 3 937 901.35 ₽).</t>
        </is>
      </c>
    </row>
    <row r="23" ht="30" customHeight="1">
      <c r="A23" s="12" t="inlineStr">
        <is>
          <t>• Апрельский всплеск расходов: 1 945 562.30 ₽ — больше чем январь+март.</t>
        </is>
      </c>
    </row>
    <row r="24" ht="30" customHeight="1">
      <c r="A24" s="12" t="inlineStr">
        <is>
          <t>• Канал Ozon снижается: 174 688 → 34 594 → 50 971 → 20 279 ₽ (−88% за 4 мес).</t>
        </is>
      </c>
    </row>
    <row r="26">
      <c r="A26" s="11" t="inlineStr">
        <is>
          <t>Топ-3 риска</t>
        </is>
      </c>
    </row>
    <row r="27" ht="30" customHeight="1">
      <c r="A27" s="12" t="inlineStr">
        <is>
          <t>• Концентрация (КРИТИЧНО): HHI = 6419 при пороге US DOJ 2500. Потеря топ-1 = −78.6% выручки.</t>
        </is>
      </c>
    </row>
    <row r="28" ht="30" customHeight="1">
      <c r="A28" s="12" t="inlineStr">
        <is>
          <t>• Запас кэша &lt;1 месяца: остаток 9 568 ₽  burn ≈ 322 573.84 ₽ / мес.</t>
        </is>
      </c>
    </row>
    <row r="29" ht="30" customHeight="1">
      <c r="A29" s="12" t="inlineStr">
        <is>
          <t>• VAT-лаг: +470 994 ₽ — деньги бюджета, истребуются при ближайшей декларации НДС.</t>
        </is>
      </c>
    </row>
    <row r="31">
      <c r="A31" s="11" t="inlineStr">
        <is>
          <t>Рекомендуемые действия</t>
        </is>
      </c>
    </row>
    <row r="32" ht="28" customHeight="1">
      <c r="A32" s="12" t="inlineStr">
        <is>
          <t>• Диверсификация клиентского портфеля (0–3 мес): снизить долю топ-1 до &lt;40% за 2 квартала.</t>
        </is>
      </c>
    </row>
    <row r="33" ht="28" customHeight="1">
      <c r="A33" s="12" t="inlineStr">
        <is>
          <t>• Аудит апрельских расходов: разовый ли всплеск или новая база?</t>
        </is>
      </c>
    </row>
    <row r="34" ht="28" customHeight="1">
      <c r="A34" s="12" t="inlineStr">
        <is>
          <t>• Резерв под НДС: зафиксировать 471k ₽ как obligation; не использовать на опер. нужды.</t>
        </is>
      </c>
    </row>
    <row r="35" ht="28" customHeight="1">
      <c r="A35" s="12" t="inlineStr">
        <is>
          <t>• Мониторинг: ежемесячный перезапуск ./finance/run.sh, отслеживать MoM-тренд и HHI.</t>
        </is>
      </c>
    </row>
  </sheetData>
  <mergeCells count="11">
    <mergeCell ref="A24:F24"/>
    <mergeCell ref="A33:F33"/>
    <mergeCell ref="A28:F28"/>
    <mergeCell ref="A23:F23"/>
    <mergeCell ref="A32:F32"/>
    <mergeCell ref="A27:F27"/>
    <mergeCell ref="A22:F22"/>
    <mergeCell ref="A34:F34"/>
    <mergeCell ref="A35:F35"/>
    <mergeCell ref="A4:F4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</cols>
  <sheetData>
    <row r="1">
      <c r="A1" s="1" t="inlineStr">
        <is>
          <t>Отчёт об операциях (P&amp;L)</t>
        </is>
      </c>
    </row>
    <row r="2">
      <c r="A2" s="2" t="inlineStr">
        <is>
          <t>Кассовый метод · нетто от НДС · 2026-01-01 – 2026-04-30</t>
        </is>
      </c>
    </row>
    <row r="4">
      <c r="A4" s="13" t="inlineStr">
        <is>
          <t>Строка</t>
        </is>
      </c>
      <c r="B4" s="14" t="inlineStr">
        <is>
          <t>Янв 26</t>
        </is>
      </c>
      <c r="C4" s="14" t="inlineStr">
        <is>
          <t>Фев 26</t>
        </is>
      </c>
      <c r="D4" s="14" t="inlineStr">
        <is>
          <t>Мар 26</t>
        </is>
      </c>
      <c r="E4" s="14" t="inlineStr">
        <is>
          <t>Апр 26</t>
        </is>
      </c>
      <c r="F4" s="14" t="inlineStr">
        <is>
          <t>Итого</t>
        </is>
      </c>
      <c r="G4" s="14" t="inlineStr">
        <is>
          <t>% Выр</t>
        </is>
      </c>
    </row>
    <row r="5">
      <c r="A5" s="15" t="inlineStr">
        <is>
          <t>Выручка (без НДС)</t>
        </is>
      </c>
      <c r="B5" s="16" t="n">
        <v>829688.0600000001</v>
      </c>
      <c r="C5" s="16" t="n">
        <v>899471.0699999999</v>
      </c>
      <c r="D5" s="16" t="n">
        <v>680370.49</v>
      </c>
      <c r="E5" s="16" t="n">
        <v>848147.7</v>
      </c>
      <c r="F5" s="16" t="n">
        <v>3257677.32</v>
      </c>
      <c r="G5" s="17" t="n">
        <v>1</v>
      </c>
    </row>
    <row r="6">
      <c r="A6" s="6" t="inlineStr">
        <is>
          <t xml:space="preserve">  Маркетплейс Ozon</t>
        </is>
      </c>
      <c r="B6" s="18" t="n">
        <v>174688.06</v>
      </c>
      <c r="C6" s="18" t="n">
        <v>34594.17</v>
      </c>
      <c r="D6" s="18" t="n">
        <v>50970.86</v>
      </c>
      <c r="E6" s="18" t="n">
        <v>20278.84</v>
      </c>
      <c r="F6" s="18" t="n">
        <v>280531.93</v>
      </c>
      <c r="G6" s="19" t="n">
        <v>0.08611409370649392</v>
      </c>
    </row>
    <row r="7">
      <c r="A7" s="6" t="inlineStr">
        <is>
          <t xml:space="preserve">  Прямые B2B</t>
        </is>
      </c>
      <c r="B7" s="18" t="n">
        <v>655000</v>
      </c>
      <c r="C7" s="18" t="n">
        <v>864876.9</v>
      </c>
      <c r="D7" s="18" t="n">
        <v>629399.63</v>
      </c>
      <c r="E7" s="18" t="n">
        <v>827868.86</v>
      </c>
      <c r="F7" s="18" t="n">
        <v>2977145.39</v>
      </c>
      <c r="G7" s="19" t="n">
        <v>0.9138859062935061</v>
      </c>
    </row>
    <row r="8">
      <c r="A8" s="15" t="inlineStr">
        <is>
          <t>Себестоимость (COGS)</t>
        </is>
      </c>
      <c r="B8" s="16" t="n">
        <v>100000</v>
      </c>
      <c r="C8" s="16" t="n">
        <v>50000</v>
      </c>
      <c r="D8" s="16" t="n">
        <v>0</v>
      </c>
      <c r="E8" s="16" t="n">
        <v>825000</v>
      </c>
      <c r="F8" s="16" t="n">
        <v>975000</v>
      </c>
      <c r="G8" s="17" t="n">
        <v>0.299292994433224</v>
      </c>
    </row>
    <row r="9">
      <c r="A9" s="6" t="inlineStr">
        <is>
          <t xml:space="preserve">  Производство</t>
        </is>
      </c>
      <c r="B9" s="18" t="n">
        <v>100000</v>
      </c>
      <c r="C9" s="18" t="n">
        <v>50000</v>
      </c>
      <c r="D9" s="18" t="n">
        <v>0</v>
      </c>
      <c r="E9" s="18" t="n">
        <v>825000</v>
      </c>
      <c r="F9" s="18" t="n">
        <v>975000</v>
      </c>
      <c r="G9" s="19" t="n">
        <v>0.299292994433224</v>
      </c>
    </row>
    <row r="10">
      <c r="A10" s="20" t="inlineStr">
        <is>
          <t>Валовая прибыль</t>
        </is>
      </c>
      <c r="B10" s="7" t="n">
        <v>729688.0600000001</v>
      </c>
      <c r="C10" s="7" t="n">
        <v>849471.0699999999</v>
      </c>
      <c r="D10" s="7" t="n">
        <v>680370.49</v>
      </c>
      <c r="E10" s="7" t="n">
        <v>23147.7</v>
      </c>
      <c r="F10" s="7" t="n">
        <v>2282677.32</v>
      </c>
      <c r="G10" s="19" t="n">
        <v>0.700707005566776</v>
      </c>
    </row>
    <row r="11">
      <c r="A11" s="21" t="inlineStr">
        <is>
          <t xml:space="preserve">  Валовая маржа</t>
        </is>
      </c>
      <c r="B11" s="22" t="n">
        <v>0.8794727743822178</v>
      </c>
      <c r="C11" s="22" t="n">
        <v>0.9444117752447558</v>
      </c>
      <c r="D11" s="22" t="n">
        <v>1</v>
      </c>
      <c r="E11" s="22" t="n">
        <v>0.02729206245563125</v>
      </c>
      <c r="F11" s="22" t="n">
        <v>0.700707005566776</v>
      </c>
      <c r="G11" s="23" t="n"/>
    </row>
    <row r="12">
      <c r="A12" s="15" t="inlineStr">
        <is>
          <t>Операционные расходы</t>
        </is>
      </c>
      <c r="B12" s="16" t="n">
        <v>666789.23</v>
      </c>
      <c r="C12" s="16" t="n">
        <v>927537.09</v>
      </c>
      <c r="D12" s="16" t="n">
        <v>480536.74</v>
      </c>
      <c r="E12" s="16" t="n">
        <v>1111677.3</v>
      </c>
      <c r="F12" s="16" t="n">
        <v>3186540.36</v>
      </c>
      <c r="G12" s="17" t="n">
        <v>0.9781632884376652</v>
      </c>
    </row>
    <row r="13">
      <c r="A13" s="6" t="inlineStr">
        <is>
          <t xml:space="preserve">  Зарплаты</t>
        </is>
      </c>
      <c r="B13" s="18" t="n">
        <v>53475.67</v>
      </c>
      <c r="C13" s="18" t="n">
        <v>175467.46</v>
      </c>
      <c r="D13" s="18" t="n">
        <v>76157.60000000001</v>
      </c>
      <c r="E13" s="18" t="n">
        <v>59906.14</v>
      </c>
      <c r="F13" s="18" t="n">
        <v>365006.87</v>
      </c>
      <c r="G13" s="19" t="n">
        <v>0.1120451272933318</v>
      </c>
    </row>
    <row r="14">
      <c r="A14" s="6" t="inlineStr">
        <is>
          <t xml:space="preserve">  Транспорт</t>
        </is>
      </c>
      <c r="B14" s="18" t="n">
        <v>150000</v>
      </c>
      <c r="C14" s="18" t="n">
        <v>310000</v>
      </c>
      <c r="D14" s="18" t="n">
        <v>102000</v>
      </c>
      <c r="E14" s="18" t="n">
        <v>800000</v>
      </c>
      <c r="F14" s="18" t="n">
        <v>1362000</v>
      </c>
      <c r="G14" s="19" t="n">
        <v>0.4180892906851806</v>
      </c>
    </row>
    <row r="15">
      <c r="A15" s="6" t="inlineStr">
        <is>
          <t xml:space="preserve">  Доставка</t>
        </is>
      </c>
      <c r="B15" s="18" t="n">
        <v>3996.94</v>
      </c>
      <c r="C15" s="18" t="n">
        <v>58725.76</v>
      </c>
      <c r="D15" s="18" t="n">
        <v>2527.04</v>
      </c>
      <c r="E15" s="18" t="n">
        <v>810</v>
      </c>
      <c r="F15" s="18" t="n">
        <v>66059.74000000001</v>
      </c>
      <c r="G15" s="19" t="n">
        <v>0.02027817168828741</v>
      </c>
    </row>
    <row r="16">
      <c r="A16" s="6" t="inlineStr">
        <is>
          <t xml:space="preserve">  Лизинг (авто)</t>
        </is>
      </c>
      <c r="B16" s="18" t="n">
        <v>197902.61</v>
      </c>
      <c r="C16" s="18" t="n">
        <v>233469.09</v>
      </c>
      <c r="D16" s="18" t="n">
        <v>205853.11</v>
      </c>
      <c r="E16" s="18" t="n">
        <v>189793.11</v>
      </c>
      <c r="F16" s="18" t="n">
        <v>827017.92</v>
      </c>
      <c r="G16" s="19" t="n">
        <v>0.2538673535658836</v>
      </c>
    </row>
    <row r="17">
      <c r="A17" s="6" t="inlineStr">
        <is>
          <t xml:space="preserve">  Страхование (ОСАГО)</t>
        </is>
      </c>
      <c r="B17" s="18" t="n">
        <v>25805.94</v>
      </c>
      <c r="C17" s="18" t="n">
        <v>49734.48</v>
      </c>
      <c r="D17" s="18" t="n">
        <v>0</v>
      </c>
      <c r="E17" s="18" t="n">
        <v>49734.48</v>
      </c>
      <c r="F17" s="18" t="n">
        <v>125274.9</v>
      </c>
      <c r="G17" s="19" t="n">
        <v>0.03845528199827968</v>
      </c>
    </row>
    <row r="18">
      <c r="A18" s="6" t="inlineStr">
        <is>
          <t xml:space="preserve">  Обслуживание авто</t>
        </is>
      </c>
      <c r="B18" s="18" t="n">
        <v>0</v>
      </c>
      <c r="C18" s="18" t="n">
        <v>24472</v>
      </c>
      <c r="D18" s="18" t="n">
        <v>0</v>
      </c>
      <c r="E18" s="18" t="n">
        <v>1428.57</v>
      </c>
      <c r="F18" s="18" t="n">
        <v>25900.57</v>
      </c>
      <c r="G18" s="19" t="n">
        <v>0.007950624772130592</v>
      </c>
    </row>
    <row r="19">
      <c r="A19" s="6" t="inlineStr">
        <is>
          <t xml:space="preserve">  Аренда</t>
        </is>
      </c>
      <c r="B19" s="18" t="n">
        <v>105289.73</v>
      </c>
      <c r="C19" s="18" t="n">
        <v>74718.3</v>
      </c>
      <c r="D19" s="18" t="n">
        <v>5714.29</v>
      </c>
      <c r="E19" s="18" t="n">
        <v>5715</v>
      </c>
      <c r="F19" s="18" t="n">
        <v>191437.32</v>
      </c>
      <c r="G19" s="19" t="n">
        <v>0.05876497307597058</v>
      </c>
    </row>
    <row r="20">
      <c r="A20" s="6" t="inlineStr">
        <is>
          <t xml:space="preserve">  Коммунальные</t>
        </is>
      </c>
      <c r="B20" s="18" t="n">
        <v>0</v>
      </c>
      <c r="C20" s="18" t="n">
        <v>0</v>
      </c>
      <c r="D20" s="18" t="n">
        <v>41197</v>
      </c>
      <c r="E20" s="18" t="n">
        <v>0</v>
      </c>
      <c r="F20" s="18" t="n">
        <v>41197</v>
      </c>
      <c r="G20" s="19" t="n">
        <v>0.01264612665811849</v>
      </c>
    </row>
    <row r="21">
      <c r="A21" s="6" t="inlineStr">
        <is>
          <t xml:space="preserve">  Связь</t>
        </is>
      </c>
      <c r="B21" s="18" t="n">
        <v>8333.33</v>
      </c>
      <c r="C21" s="18" t="n">
        <v>0</v>
      </c>
      <c r="D21" s="18" t="n">
        <v>5737.7</v>
      </c>
      <c r="E21" s="18" t="n">
        <v>0</v>
      </c>
      <c r="F21" s="18" t="n">
        <v>14071.03</v>
      </c>
      <c r="G21" s="19" t="n">
        <v>0.004319344311240746</v>
      </c>
    </row>
    <row r="22">
      <c r="A22" s="6" t="inlineStr">
        <is>
          <t xml:space="preserve">  ПО / IT</t>
        </is>
      </c>
      <c r="B22" s="18" t="n">
        <v>54935.01</v>
      </c>
      <c r="C22" s="18" t="n">
        <v>0</v>
      </c>
      <c r="D22" s="18" t="n">
        <v>7700</v>
      </c>
      <c r="E22" s="18" t="n">
        <v>0</v>
      </c>
      <c r="F22" s="18" t="n">
        <v>62635.01</v>
      </c>
      <c r="G22" s="19" t="n">
        <v>0.01922689199923582</v>
      </c>
    </row>
    <row r="23">
      <c r="A23" s="6" t="inlineStr">
        <is>
          <t xml:space="preserve">  Бухгалтерия</t>
        </is>
      </c>
      <c r="B23" s="18" t="n">
        <v>0</v>
      </c>
      <c r="C23" s="18" t="n">
        <v>0</v>
      </c>
      <c r="D23" s="18" t="n">
        <v>32700</v>
      </c>
      <c r="E23" s="18" t="n">
        <v>0</v>
      </c>
      <c r="F23" s="18" t="n">
        <v>32700</v>
      </c>
      <c r="G23" s="19" t="n">
        <v>0.01003782658252966</v>
      </c>
    </row>
    <row r="24">
      <c r="A24" s="6" t="inlineStr">
        <is>
          <t xml:space="preserve">  Обучение</t>
        </is>
      </c>
      <c r="B24" s="18" t="n">
        <v>66100</v>
      </c>
      <c r="C24" s="18" t="n">
        <v>0</v>
      </c>
      <c r="D24" s="18" t="n">
        <v>0</v>
      </c>
      <c r="E24" s="18" t="n">
        <v>0</v>
      </c>
      <c r="F24" s="18" t="n">
        <v>66100</v>
      </c>
      <c r="G24" s="19" t="n">
        <v>0.0202905301867037</v>
      </c>
    </row>
    <row r="25">
      <c r="A25" s="6" t="inlineStr">
        <is>
          <t xml:space="preserve">  Банковские сборы</t>
        </is>
      </c>
      <c r="B25" s="18" t="n">
        <v>950</v>
      </c>
      <c r="C25" s="18" t="n">
        <v>950</v>
      </c>
      <c r="D25" s="18" t="n">
        <v>950</v>
      </c>
      <c r="E25" s="18" t="n">
        <v>4290</v>
      </c>
      <c r="F25" s="18" t="n">
        <v>7140</v>
      </c>
      <c r="G25" s="19" t="n">
        <v>0.002191745620772532</v>
      </c>
    </row>
    <row r="26">
      <c r="A26" s="20" t="inlineStr">
        <is>
          <t>Операционная прибыль (EBIT)</t>
        </is>
      </c>
      <c r="B26" s="7" t="n">
        <v>62898.83</v>
      </c>
      <c r="C26" s="7" t="n">
        <v>-78066.02</v>
      </c>
      <c r="D26" s="7" t="n">
        <v>199833.75</v>
      </c>
      <c r="E26" s="7" t="n">
        <v>-1088529.6</v>
      </c>
      <c r="F26" s="7" t="n">
        <v>-903863.04</v>
      </c>
      <c r="G26" s="19" t="n">
        <v>-0.2774562828708891</v>
      </c>
    </row>
    <row r="27">
      <c r="A27" s="21" t="inlineStr">
        <is>
          <t xml:space="preserve">  Операционная маржа</t>
        </is>
      </c>
      <c r="B27" s="22" t="n">
        <v>0.07581021474504526</v>
      </c>
      <c r="C27" s="22" t="n">
        <v>-0.0867910293101478</v>
      </c>
      <c r="D27" s="22" t="n">
        <v>0.2937131356182129</v>
      </c>
      <c r="E27" s="22" t="n">
        <v>-1.283419857178178</v>
      </c>
      <c r="F27" s="22" t="n">
        <v>-0.2774562828708891</v>
      </c>
      <c r="G27" s="23" t="n"/>
    </row>
    <row r="28">
      <c r="A28" s="6" t="inlineStr">
        <is>
          <t>Прочий доход</t>
        </is>
      </c>
      <c r="B28" s="18" t="n">
        <v>0</v>
      </c>
      <c r="C28" s="18" t="n">
        <v>0</v>
      </c>
      <c r="D28" s="18" t="n">
        <v>41700</v>
      </c>
      <c r="E28" s="18" t="n">
        <v>0</v>
      </c>
      <c r="F28" s="18" t="n">
        <v>41700</v>
      </c>
      <c r="G28" s="19" t="n">
        <v>0.01280053114652866</v>
      </c>
    </row>
    <row r="29">
      <c r="A29" s="15" t="inlineStr">
        <is>
          <t>Налоги (ФНС + ОСФР)</t>
        </is>
      </c>
      <c r="B29" s="16" t="n">
        <v>174416.77</v>
      </c>
      <c r="C29" s="16" t="n">
        <v>43109.19</v>
      </c>
      <c r="D29" s="16" t="n">
        <v>201721.36</v>
      </c>
      <c r="E29" s="16" t="n">
        <v>8885</v>
      </c>
      <c r="F29" s="16" t="n">
        <v>428132.32</v>
      </c>
      <c r="G29" s="17" t="n">
        <v>0.1314225682732751</v>
      </c>
    </row>
    <row r="30">
      <c r="A30" s="6" t="inlineStr">
        <is>
          <t xml:space="preserve">  ФНС (налоги)</t>
        </is>
      </c>
      <c r="B30" s="18" t="n">
        <v>174416.77</v>
      </c>
      <c r="C30" s="18" t="n">
        <v>42153</v>
      </c>
      <c r="D30" s="18" t="n">
        <v>201721.36</v>
      </c>
      <c r="E30" s="18" t="n">
        <v>8403</v>
      </c>
      <c r="F30" s="18" t="n">
        <v>426694.13</v>
      </c>
      <c r="G30" s="19" t="n">
        <v>0.1309810911536198</v>
      </c>
    </row>
    <row r="31">
      <c r="A31" s="6" t="inlineStr">
        <is>
          <t xml:space="preserve">  ОСФР (соц. взносы)</t>
        </is>
      </c>
      <c r="B31" s="18" t="n">
        <v>0</v>
      </c>
      <c r="C31" s="18" t="n">
        <v>956.1900000000001</v>
      </c>
      <c r="D31" s="18" t="n">
        <v>0</v>
      </c>
      <c r="E31" s="18" t="n">
        <v>482</v>
      </c>
      <c r="F31" s="18" t="n">
        <v>1438.19</v>
      </c>
      <c r="G31" s="19" t="n">
        <v>0.0004414771196553009</v>
      </c>
    </row>
    <row r="32">
      <c r="A32" s="20" t="inlineStr">
        <is>
          <t>Чистый денежный результат</t>
        </is>
      </c>
      <c r="B32" s="7" t="n">
        <v>-111517.94</v>
      </c>
      <c r="C32" s="7" t="n">
        <v>-121175.21</v>
      </c>
      <c r="D32" s="7" t="n">
        <v>39812.39</v>
      </c>
      <c r="E32" s="7" t="n">
        <v>-1097414.6</v>
      </c>
      <c r="F32" s="7" t="n">
        <v>-1290295.36</v>
      </c>
      <c r="G32" s="19" t="n">
        <v>-0.3960783199976356</v>
      </c>
    </row>
    <row r="33">
      <c r="A33" s="21" t="inlineStr">
        <is>
          <t xml:space="preserve">  Чистая маржа</t>
        </is>
      </c>
      <c r="B33" s="22" t="n">
        <v>-0.134409479148103</v>
      </c>
      <c r="C33" s="22" t="n">
        <v>-0.1347182961648783</v>
      </c>
      <c r="D33" s="22" t="n">
        <v>0.05851575073457404</v>
      </c>
      <c r="E33" s="22" t="n">
        <v>-1.293895626905549</v>
      </c>
      <c r="F33" s="22" t="n">
        <v>-0.3960783199976356</v>
      </c>
      <c r="G33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</cols>
  <sheetData>
    <row r="1">
      <c r="A1" s="1" t="inlineStr">
        <is>
          <t>Сверка с банком — P&amp;L → расчётный счёт</t>
        </is>
      </c>
    </row>
    <row r="2">
      <c r="A2" s="2" t="inlineStr">
        <is>
          <t>Net P&amp;L + (VAT-лаг) + (внутр. переводы) = Изм. остатка</t>
        </is>
      </c>
    </row>
    <row r="4">
      <c r="A4" s="24" t="inlineStr">
        <is>
          <t>Шаг сверки</t>
        </is>
      </c>
      <c r="B4" s="25" t="inlineStr">
        <is>
          <t>Сумма, ₽</t>
        </is>
      </c>
    </row>
    <row r="5">
      <c r="A5" s="6" t="inlineStr">
        <is>
          <t>Чистый результат P&amp;L (без НДС)</t>
        </is>
      </c>
      <c r="B5" s="26" t="n">
        <v>-1290295.36</v>
      </c>
    </row>
    <row r="6">
      <c r="A6" s="6" t="inlineStr">
        <is>
          <t>(+) Полученный НДС − уплаченный НДС (лаг)</t>
        </is>
      </c>
      <c r="B6" s="26" t="n">
        <v>470994.43</v>
      </c>
    </row>
    <row r="7">
      <c r="A7" s="15">
        <f> Внешний денежный результат</f>
        <v/>
      </c>
      <c r="B7" s="16" t="n">
        <v>-819300.9300000001</v>
      </c>
    </row>
    <row r="8">
      <c r="A8" s="6" t="inlineStr">
        <is>
          <t>(+) Внутренние трансферы между своими счетами</t>
        </is>
      </c>
      <c r="B8" s="26" t="n">
        <v>825000</v>
      </c>
    </row>
    <row r="9">
      <c r="A9" s="15">
        <f> Чистое изменение банковского остатка</f>
        <v/>
      </c>
      <c r="B9" s="16" t="n">
        <v>5699.07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Категория × Месяц</t>
        </is>
      </c>
    </row>
    <row r="2">
      <c r="A2" s="2" t="inlineStr">
        <is>
          <t>Нетто-суммы по каждой категории, помесячно (без внутр. переводов)</t>
        </is>
      </c>
    </row>
    <row r="4">
      <c r="A4" s="13" t="inlineStr">
        <is>
          <t>Сторона</t>
        </is>
      </c>
      <c r="B4" s="13" t="inlineStr">
        <is>
          <t>Категория</t>
        </is>
      </c>
      <c r="C4" s="14" t="inlineStr">
        <is>
          <t>Янв 26</t>
        </is>
      </c>
      <c r="D4" s="14" t="inlineStr">
        <is>
          <t>Фев 26</t>
        </is>
      </c>
      <c r="E4" s="14" t="inlineStr">
        <is>
          <t>Мар 26</t>
        </is>
      </c>
      <c r="F4" s="14" t="inlineStr">
        <is>
          <t>Апр 26</t>
        </is>
      </c>
      <c r="G4" s="14" t="inlineStr">
        <is>
          <t>Итого</t>
        </is>
      </c>
    </row>
    <row r="5">
      <c r="A5" s="27" t="inlineStr">
        <is>
          <t>revenue</t>
        </is>
      </c>
      <c r="B5" s="6" t="inlineStr">
        <is>
          <t>revenue.direct_b2b</t>
        </is>
      </c>
      <c r="C5" s="18" t="n">
        <v>655000</v>
      </c>
      <c r="D5" s="18" t="n">
        <v>864876.9</v>
      </c>
      <c r="E5" s="18" t="n">
        <v>629399.63</v>
      </c>
      <c r="F5" s="18" t="n">
        <v>827868.86</v>
      </c>
      <c r="G5" s="7" t="n">
        <v>2977145.39</v>
      </c>
    </row>
    <row r="6">
      <c r="A6" s="27" t="inlineStr">
        <is>
          <t>revenue</t>
        </is>
      </c>
      <c r="B6" s="6" t="inlineStr">
        <is>
          <t>revenue.marketplace_ozon</t>
        </is>
      </c>
      <c r="C6" s="18" t="n">
        <v>174688.06</v>
      </c>
      <c r="D6" s="18" t="n">
        <v>34594.17</v>
      </c>
      <c r="E6" s="18" t="n">
        <v>50970.86</v>
      </c>
      <c r="F6" s="18" t="n">
        <v>20278.84</v>
      </c>
      <c r="G6" s="7" t="n">
        <v>280531.93</v>
      </c>
    </row>
    <row r="7">
      <c r="A7" s="27" t="inlineStr">
        <is>
          <t>other_income</t>
        </is>
      </c>
      <c r="B7" s="6" t="inlineStr">
        <is>
          <t>other_income.insurance_reimb</t>
        </is>
      </c>
      <c r="C7" s="18" t="n">
        <v>0</v>
      </c>
      <c r="D7" s="18" t="n">
        <v>0</v>
      </c>
      <c r="E7" s="18" t="n">
        <v>41700</v>
      </c>
      <c r="F7" s="18" t="n">
        <v>0</v>
      </c>
      <c r="G7" s="7" t="n">
        <v>41700</v>
      </c>
    </row>
    <row r="8">
      <c r="A8" s="27" t="inlineStr">
        <is>
          <t>cogs</t>
        </is>
      </c>
      <c r="B8" s="6" t="inlineStr">
        <is>
          <t>cogs.manufacturing</t>
        </is>
      </c>
      <c r="C8" s="18" t="n">
        <v>100000</v>
      </c>
      <c r="D8" s="18" t="n">
        <v>50000</v>
      </c>
      <c r="E8" s="18" t="n">
        <v>0</v>
      </c>
      <c r="F8" s="18" t="n">
        <v>825000</v>
      </c>
      <c r="G8" s="7" t="n">
        <v>975000</v>
      </c>
    </row>
    <row r="9">
      <c r="A9" s="27" t="inlineStr">
        <is>
          <t>opex</t>
        </is>
      </c>
      <c r="B9" s="6" t="inlineStr">
        <is>
          <t>opex.transport</t>
        </is>
      </c>
      <c r="C9" s="18" t="n">
        <v>150000</v>
      </c>
      <c r="D9" s="18" t="n">
        <v>310000</v>
      </c>
      <c r="E9" s="18" t="n">
        <v>102000</v>
      </c>
      <c r="F9" s="18" t="n">
        <v>800000</v>
      </c>
      <c r="G9" s="7" t="n">
        <v>1362000</v>
      </c>
    </row>
    <row r="10">
      <c r="A10" s="27" t="inlineStr">
        <is>
          <t>opex</t>
        </is>
      </c>
      <c r="B10" s="6" t="inlineStr">
        <is>
          <t>opex.leasing_auto</t>
        </is>
      </c>
      <c r="C10" s="18" t="n">
        <v>197902.61</v>
      </c>
      <c r="D10" s="18" t="n">
        <v>233469.09</v>
      </c>
      <c r="E10" s="18" t="n">
        <v>205853.11</v>
      </c>
      <c r="F10" s="18" t="n">
        <v>189793.11</v>
      </c>
      <c r="G10" s="7" t="n">
        <v>827017.92</v>
      </c>
    </row>
    <row r="11">
      <c r="A11" s="27" t="inlineStr">
        <is>
          <t>opex</t>
        </is>
      </c>
      <c r="B11" s="6" t="inlineStr">
        <is>
          <t>opex.salary</t>
        </is>
      </c>
      <c r="C11" s="18" t="n">
        <v>53475.67</v>
      </c>
      <c r="D11" s="18" t="n">
        <v>175467.46</v>
      </c>
      <c r="E11" s="18" t="n">
        <v>76157.60000000001</v>
      </c>
      <c r="F11" s="18" t="n">
        <v>59906.14</v>
      </c>
      <c r="G11" s="7" t="n">
        <v>365006.87</v>
      </c>
    </row>
    <row r="12">
      <c r="A12" s="27" t="inlineStr">
        <is>
          <t>opex</t>
        </is>
      </c>
      <c r="B12" s="6" t="inlineStr">
        <is>
          <t>opex.rent</t>
        </is>
      </c>
      <c r="C12" s="18" t="n">
        <v>105289.73</v>
      </c>
      <c r="D12" s="18" t="n">
        <v>74718.3</v>
      </c>
      <c r="E12" s="18" t="n">
        <v>5714.29</v>
      </c>
      <c r="F12" s="18" t="n">
        <v>5715</v>
      </c>
      <c r="G12" s="7" t="n">
        <v>191437.32</v>
      </c>
    </row>
    <row r="13">
      <c r="A13" s="27" t="inlineStr">
        <is>
          <t>opex</t>
        </is>
      </c>
      <c r="B13" s="6" t="inlineStr">
        <is>
          <t>opex.insurance_osago</t>
        </is>
      </c>
      <c r="C13" s="18" t="n">
        <v>25805.94</v>
      </c>
      <c r="D13" s="18" t="n">
        <v>49734.48</v>
      </c>
      <c r="E13" s="18" t="n">
        <v>0</v>
      </c>
      <c r="F13" s="18" t="n">
        <v>49734.48</v>
      </c>
      <c r="G13" s="7" t="n">
        <v>125274.9</v>
      </c>
    </row>
    <row r="14">
      <c r="A14" s="27" t="inlineStr">
        <is>
          <t>opex</t>
        </is>
      </c>
      <c r="B14" s="6" t="inlineStr">
        <is>
          <t>opex.training</t>
        </is>
      </c>
      <c r="C14" s="18" t="n">
        <v>66100</v>
      </c>
      <c r="D14" s="18" t="n">
        <v>0</v>
      </c>
      <c r="E14" s="18" t="n">
        <v>0</v>
      </c>
      <c r="F14" s="18" t="n">
        <v>0</v>
      </c>
      <c r="G14" s="7" t="n">
        <v>66100</v>
      </c>
    </row>
    <row r="15">
      <c r="A15" s="27" t="inlineStr">
        <is>
          <t>opex</t>
        </is>
      </c>
      <c r="B15" s="6" t="inlineStr">
        <is>
          <t>opex.shipping</t>
        </is>
      </c>
      <c r="C15" s="18" t="n">
        <v>3996.94</v>
      </c>
      <c r="D15" s="18" t="n">
        <v>58725.76</v>
      </c>
      <c r="E15" s="18" t="n">
        <v>2527.04</v>
      </c>
      <c r="F15" s="18" t="n">
        <v>810</v>
      </c>
      <c r="G15" s="7" t="n">
        <v>66059.74000000001</v>
      </c>
    </row>
    <row r="16">
      <c r="A16" s="27" t="inlineStr">
        <is>
          <t>opex</t>
        </is>
      </c>
      <c r="B16" s="6" t="inlineStr">
        <is>
          <t>opex.software</t>
        </is>
      </c>
      <c r="C16" s="18" t="n">
        <v>54935.01</v>
      </c>
      <c r="D16" s="18" t="n">
        <v>0</v>
      </c>
      <c r="E16" s="18" t="n">
        <v>7700</v>
      </c>
      <c r="F16" s="18" t="n">
        <v>0</v>
      </c>
      <c r="G16" s="7" t="n">
        <v>62635.01</v>
      </c>
    </row>
    <row r="17">
      <c r="A17" s="27" t="inlineStr">
        <is>
          <t>opex</t>
        </is>
      </c>
      <c r="B17" s="6" t="inlineStr">
        <is>
          <t>opex.utilities</t>
        </is>
      </c>
      <c r="C17" s="18" t="n">
        <v>0</v>
      </c>
      <c r="D17" s="18" t="n">
        <v>0</v>
      </c>
      <c r="E17" s="18" t="n">
        <v>41197</v>
      </c>
      <c r="F17" s="18" t="n">
        <v>0</v>
      </c>
      <c r="G17" s="7" t="n">
        <v>41197</v>
      </c>
    </row>
    <row r="18">
      <c r="A18" s="27" t="inlineStr">
        <is>
          <t>opex</t>
        </is>
      </c>
      <c r="B18" s="6" t="inlineStr">
        <is>
          <t>opex.accounting</t>
        </is>
      </c>
      <c r="C18" s="18" t="n">
        <v>0</v>
      </c>
      <c r="D18" s="18" t="n">
        <v>0</v>
      </c>
      <c r="E18" s="18" t="n">
        <v>32700</v>
      </c>
      <c r="F18" s="18" t="n">
        <v>0</v>
      </c>
      <c r="G18" s="7" t="n">
        <v>32700</v>
      </c>
    </row>
    <row r="19">
      <c r="A19" s="27" t="inlineStr">
        <is>
          <t>opex</t>
        </is>
      </c>
      <c r="B19" s="6" t="inlineStr">
        <is>
          <t>opex.vehicle_maint</t>
        </is>
      </c>
      <c r="C19" s="18" t="n">
        <v>0</v>
      </c>
      <c r="D19" s="18" t="n">
        <v>24472</v>
      </c>
      <c r="E19" s="18" t="n">
        <v>0</v>
      </c>
      <c r="F19" s="18" t="n">
        <v>1428.57</v>
      </c>
      <c r="G19" s="7" t="n">
        <v>25900.57</v>
      </c>
    </row>
    <row r="20">
      <c r="A20" s="27" t="inlineStr">
        <is>
          <t>opex</t>
        </is>
      </c>
      <c r="B20" s="6" t="inlineStr">
        <is>
          <t>opex.telecom</t>
        </is>
      </c>
      <c r="C20" s="18" t="n">
        <v>8333.33</v>
      </c>
      <c r="D20" s="18" t="n">
        <v>0</v>
      </c>
      <c r="E20" s="18" t="n">
        <v>5737.7</v>
      </c>
      <c r="F20" s="18" t="n">
        <v>0</v>
      </c>
      <c r="G20" s="7" t="n">
        <v>14071.03</v>
      </c>
    </row>
    <row r="21">
      <c r="A21" s="27" t="inlineStr">
        <is>
          <t>opex</t>
        </is>
      </c>
      <c r="B21" s="6" t="inlineStr">
        <is>
          <t>opex.bank_fees</t>
        </is>
      </c>
      <c r="C21" s="18" t="n">
        <v>950</v>
      </c>
      <c r="D21" s="18" t="n">
        <v>950</v>
      </c>
      <c r="E21" s="18" t="n">
        <v>950</v>
      </c>
      <c r="F21" s="18" t="n">
        <v>4290</v>
      </c>
      <c r="G21" s="7" t="n">
        <v>7140</v>
      </c>
    </row>
    <row r="22">
      <c r="A22" s="27" t="inlineStr">
        <is>
          <t>tax</t>
        </is>
      </c>
      <c r="B22" s="6" t="inlineStr">
        <is>
          <t>tax.fns</t>
        </is>
      </c>
      <c r="C22" s="18" t="n">
        <v>174416.77</v>
      </c>
      <c r="D22" s="18" t="n">
        <v>42153</v>
      </c>
      <c r="E22" s="18" t="n">
        <v>201721.36</v>
      </c>
      <c r="F22" s="18" t="n">
        <v>8403</v>
      </c>
      <c r="G22" s="7" t="n">
        <v>426694.13</v>
      </c>
    </row>
    <row r="23">
      <c r="A23" s="27" t="inlineStr">
        <is>
          <t>tax</t>
        </is>
      </c>
      <c r="B23" s="6" t="inlineStr">
        <is>
          <t>tax.social</t>
        </is>
      </c>
      <c r="C23" s="18" t="n">
        <v>0</v>
      </c>
      <c r="D23" s="18" t="n">
        <v>956.1900000000001</v>
      </c>
      <c r="E23" s="18" t="n">
        <v>0</v>
      </c>
      <c r="F23" s="18" t="n">
        <v>482</v>
      </c>
      <c r="G23" s="7" t="n">
        <v>1438.19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6" customWidth="1" min="3" max="3"/>
    <col width="14" customWidth="1" min="4" max="4"/>
    <col width="18" customWidth="1" min="5" max="5"/>
    <col width="10" customWidth="1" min="6" max="6"/>
    <col width="30" customWidth="1" min="7" max="7"/>
  </cols>
  <sheetData>
    <row r="1">
      <c r="A1" s="1" t="inlineStr">
        <is>
          <t>Концентрация — клиенты</t>
        </is>
      </c>
    </row>
    <row r="2">
      <c r="A2" s="2" t="inlineStr">
        <is>
          <t>HHI = 6419 (ВЫСОКАЯ (&gt;2500))  ·  ТОП-1 = 78.6%  ·  ТОП-3 = 100.0%</t>
        </is>
      </c>
    </row>
    <row r="4">
      <c r="A4" s="14" t="inlineStr">
        <is>
          <t>#</t>
        </is>
      </c>
      <c r="B4" s="13" t="inlineStr">
        <is>
          <t>Контрагент</t>
        </is>
      </c>
      <c r="C4" s="14" t="inlineStr">
        <is>
          <t>ИНН</t>
        </is>
      </c>
      <c r="D4" s="14" t="inlineStr">
        <is>
          <t>Кол-во операций</t>
        </is>
      </c>
      <c r="E4" s="14" t="inlineStr">
        <is>
          <t>Брутто, ₽</t>
        </is>
      </c>
      <c r="F4" s="14" t="inlineStr">
        <is>
          <t>% Выр</t>
        </is>
      </c>
      <c r="G4" s="13" t="inlineStr">
        <is>
          <t>Категория</t>
        </is>
      </c>
    </row>
    <row r="5">
      <c r="A5" s="27" t="n">
        <v>1</v>
      </c>
      <c r="B5" s="28" t="inlineStr">
        <is>
          <t>ООО "ЭЛИОН"</t>
        </is>
      </c>
      <c r="C5" s="28" t="inlineStr">
        <is>
          <t>9728157660</t>
        </is>
      </c>
      <c r="D5" s="27" t="n">
        <v>26</v>
      </c>
      <c r="E5" s="18" t="n">
        <v>3096000</v>
      </c>
      <c r="F5" s="29" t="n">
        <v>0.786205576226535</v>
      </c>
      <c r="G5" s="28" t="inlineStr">
        <is>
          <t>revenue.direct_b2b</t>
        </is>
      </c>
    </row>
    <row r="6">
      <c r="A6" s="27" t="n">
        <v>2</v>
      </c>
      <c r="B6" s="28" t="inlineStr">
        <is>
          <t>АО "КАУСТИК"</t>
        </is>
      </c>
      <c r="C6" s="28" t="inlineStr">
        <is>
          <t>3448003962</t>
        </is>
      </c>
      <c r="D6" s="27" t="n">
        <v>2</v>
      </c>
      <c r="E6" s="18" t="n">
        <v>505263</v>
      </c>
      <c r="F6" s="29" t="n">
        <v>0.1283076834822182</v>
      </c>
      <c r="G6" s="28" t="inlineStr">
        <is>
          <t>revenue.direct_b2b</t>
        </is>
      </c>
    </row>
    <row r="7">
      <c r="A7" s="27" t="n">
        <v>3</v>
      </c>
      <c r="B7" s="28" t="inlineStr">
        <is>
          <t>ООО Интернет Решения</t>
        </is>
      </c>
      <c r="C7" s="28" t="inlineStr">
        <is>
          <t>7704217370</t>
        </is>
      </c>
      <c r="D7" s="27" t="n">
        <v>18</v>
      </c>
      <c r="E7" s="18" t="n">
        <v>336638.35</v>
      </c>
      <c r="F7" s="29" t="n">
        <v>0.08548674029124675</v>
      </c>
      <c r="G7" s="28" t="inlineStr">
        <is>
          <t>revenue.marketplace_ozon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>
      <c r="A1" s="1" t="inlineStr">
        <is>
          <t>Концентрация — расходы</t>
        </is>
      </c>
    </row>
    <row r="2">
      <c r="A2" s="2" t="inlineStr">
        <is>
          <t>HHI = 1466 (НИЗКАЯ (&lt;1500))  ·  ТОП-1 = 28.4%  ·  ТОП-3 = 58.2%</t>
        </is>
      </c>
    </row>
    <row r="4">
      <c r="A4" s="14" t="inlineStr">
        <is>
          <t>#</t>
        </is>
      </c>
      <c r="B4" s="13" t="inlineStr">
        <is>
          <t>Контрагент</t>
        </is>
      </c>
      <c r="C4" s="14" t="inlineStr">
        <is>
          <t>Сторона</t>
        </is>
      </c>
      <c r="D4" s="14" t="inlineStr">
        <is>
          <t>ИНН</t>
        </is>
      </c>
      <c r="E4" s="14" t="inlineStr">
        <is>
          <t>Кол-во операций</t>
        </is>
      </c>
      <c r="F4" s="14" t="inlineStr">
        <is>
          <t>Брутто, ₽</t>
        </is>
      </c>
      <c r="G4" s="14" t="inlineStr">
        <is>
          <t>% Расх</t>
        </is>
      </c>
      <c r="H4" s="13" t="inlineStr">
        <is>
          <t>Категория</t>
        </is>
      </c>
    </row>
    <row r="5">
      <c r="A5" s="27" t="n">
        <v>1</v>
      </c>
      <c r="B5" s="28" t="inlineStr">
        <is>
          <t>Индивидуальный предприниматель Халатник Николай Владимирович</t>
        </is>
      </c>
      <c r="C5" s="27" t="inlineStr">
        <is>
          <t>opex</t>
        </is>
      </c>
      <c r="D5" s="28" t="inlineStr">
        <is>
          <t>772074981250</t>
        </is>
      </c>
      <c r="E5" s="27" t="n">
        <v>18</v>
      </c>
      <c r="F5" s="18" t="n">
        <v>1362000</v>
      </c>
      <c r="G5" s="29" t="n">
        <v>0.2838149061039018</v>
      </c>
      <c r="H5" s="28" t="inlineStr">
        <is>
          <t>opex.transport</t>
        </is>
      </c>
    </row>
    <row r="6">
      <c r="A6" s="27" t="n">
        <v>2</v>
      </c>
      <c r="B6" s="28" t="inlineStr">
        <is>
          <t>Синельников Михаил Юрьевич</t>
        </is>
      </c>
      <c r="C6" s="27" t="inlineStr">
        <is>
          <t>cogs</t>
        </is>
      </c>
      <c r="D6" s="28" t="inlineStr">
        <is>
          <t>230210214726</t>
        </is>
      </c>
      <c r="E6" s="27" t="n">
        <v>1</v>
      </c>
      <c r="F6" s="18" t="n">
        <v>825000</v>
      </c>
      <c r="G6" s="29" t="n">
        <v>0.1719143153713061</v>
      </c>
      <c r="H6" s="28" t="inlineStr">
        <is>
          <t>cogs.manufacturing</t>
        </is>
      </c>
    </row>
    <row r="7">
      <c r="A7" s="27" t="n">
        <v>3</v>
      </c>
      <c r="B7" s="28" t="inlineStr">
        <is>
          <t>ПАО "ЛК "ЕВРОПЛАН"</t>
        </is>
      </c>
      <c r="C7" s="27" t="inlineStr">
        <is>
          <t>opex</t>
        </is>
      </c>
      <c r="D7" s="28" t="inlineStr">
        <is>
          <t>9705101614</t>
        </is>
      </c>
      <c r="E7" s="27" t="n">
        <v>8</v>
      </c>
      <c r="F7" s="18" t="n">
        <v>608255.33</v>
      </c>
      <c r="G7" s="29" t="n">
        <v>0.1267488468216944</v>
      </c>
      <c r="H7" s="28" t="inlineStr">
        <is>
          <t>opex.leasing_auto</t>
        </is>
      </c>
    </row>
    <row r="8">
      <c r="A8" s="27" t="n">
        <v>4</v>
      </c>
      <c r="B8" s="28" t="inlineStr">
        <is>
          <t>Казначейство России (ФНС России)</t>
        </is>
      </c>
      <c r="C8" s="27" t="inlineStr">
        <is>
          <t>tax</t>
        </is>
      </c>
      <c r="D8" s="28" t="inlineStr">
        <is>
          <t>7727406020</t>
        </is>
      </c>
      <c r="E8" s="27" t="n">
        <v>15</v>
      </c>
      <c r="F8" s="18" t="n">
        <v>426694.13</v>
      </c>
      <c r="G8" s="29" t="n">
        <v>0.08891494452352132</v>
      </c>
      <c r="H8" s="28" t="inlineStr">
        <is>
          <t>tax.fns</t>
        </is>
      </c>
    </row>
    <row r="9">
      <c r="A9" s="27" t="n">
        <v>5</v>
      </c>
      <c r="B9" s="28" t="inlineStr">
        <is>
          <t>ООО "АВТОЛИЗИНГ"</t>
        </is>
      </c>
      <c r="C9" s="27" t="inlineStr">
        <is>
          <t>opex</t>
        </is>
      </c>
      <c r="D9" s="28" t="inlineStr">
        <is>
          <t>7705357845</t>
        </is>
      </c>
      <c r="E9" s="27" t="n">
        <v>4</v>
      </c>
      <c r="F9" s="18" t="n">
        <v>400160</v>
      </c>
      <c r="G9" s="29" t="n">
        <v>0.08338573628967499</v>
      </c>
      <c r="H9" s="28" t="inlineStr">
        <is>
          <t>opex.leasing_auto</t>
        </is>
      </c>
    </row>
    <row r="10">
      <c r="A10" s="27" t="n">
        <v>6</v>
      </c>
      <c r="B10" s="28" t="inlineStr">
        <is>
          <t>Тарасова Дарья Владимировна</t>
        </is>
      </c>
      <c r="C10" s="27" t="inlineStr">
        <is>
          <t>opex</t>
        </is>
      </c>
      <c r="D10" s="28" t="inlineStr">
        <is>
          <t>771570635287</t>
        </is>
      </c>
      <c r="E10" s="27" t="n">
        <v>7</v>
      </c>
      <c r="F10" s="18" t="n">
        <v>208406.87</v>
      </c>
      <c r="G10" s="29" t="n">
        <v>0.04342802954512339</v>
      </c>
      <c r="H10" s="28" t="inlineStr">
        <is>
          <t>opex.salary</t>
        </is>
      </c>
    </row>
    <row r="11">
      <c r="A11" s="27" t="n">
        <v>7</v>
      </c>
      <c r="B11" s="28" t="inlineStr">
        <is>
          <t>ИП ФИНК АНАСТАСИЯ ВАЛЕНТИНОВНА</t>
        </is>
      </c>
      <c r="C11" s="27" t="inlineStr">
        <is>
          <t>cogs</t>
        </is>
      </c>
      <c r="D11" s="28" t="inlineStr">
        <is>
          <t>230213791552</t>
        </is>
      </c>
      <c r="E11" s="27" t="n">
        <v>2</v>
      </c>
      <c r="F11" s="18" t="n">
        <v>150000</v>
      </c>
      <c r="G11" s="29" t="n">
        <v>0.03125714824932839</v>
      </c>
      <c r="H11" s="28" t="inlineStr">
        <is>
          <t>cogs.manufacturing</t>
        </is>
      </c>
    </row>
    <row r="12">
      <c r="A12" s="27" t="n">
        <v>8</v>
      </c>
      <c r="B12" s="28" t="inlineStr">
        <is>
          <t>ООО "ЕВРОПЛАН СЕРВИС"</t>
        </is>
      </c>
      <c r="C12" s="27" t="inlineStr">
        <is>
          <t>opex</t>
        </is>
      </c>
      <c r="D12" s="28" t="inlineStr">
        <is>
          <t>7705770795</t>
        </is>
      </c>
      <c r="E12" s="27" t="n">
        <v>3</v>
      </c>
      <c r="F12" s="18" t="n">
        <v>125274.9</v>
      </c>
      <c r="G12" s="29" t="n">
        <v>0.02610490747479859</v>
      </c>
      <c r="H12" s="28" t="inlineStr">
        <is>
          <t>opex.insurance_osago</t>
        </is>
      </c>
    </row>
    <row r="13">
      <c r="A13" s="27" t="n">
        <v>9</v>
      </c>
      <c r="B13" s="28" t="inlineStr">
        <is>
          <t>ИП ЗАМАРАЕВ АРТЕМ ВИКТОРОВИЧ</t>
        </is>
      </c>
      <c r="C13" s="27" t="inlineStr">
        <is>
          <t>opex</t>
        </is>
      </c>
      <c r="D13" s="28" t="inlineStr">
        <is>
          <t>502480058703</t>
        </is>
      </c>
      <c r="E13" s="27" t="n">
        <v>3</v>
      </c>
      <c r="F13" s="18" t="n">
        <v>104700</v>
      </c>
      <c r="G13" s="29" t="n">
        <v>0.02181748947803121</v>
      </c>
      <c r="H13" s="28" t="inlineStr">
        <is>
          <t>opex.rent</t>
        </is>
      </c>
    </row>
    <row r="14">
      <c r="A14" s="27" t="n">
        <v>10</v>
      </c>
      <c r="B14" s="28" t="inlineStr">
        <is>
          <t>Кулинич Олег Александрович</t>
        </is>
      </c>
      <c r="C14" s="27" t="inlineStr">
        <is>
          <t>opex</t>
        </is>
      </c>
      <c r="D14" s="28" t="inlineStr">
        <is>
          <t>504508311590</t>
        </is>
      </c>
      <c r="E14" s="27" t="n">
        <v>6</v>
      </c>
      <c r="F14" s="18" t="n">
        <v>104400</v>
      </c>
      <c r="G14" s="29" t="n">
        <v>0.02175497518153256</v>
      </c>
      <c r="H14" s="28" t="inlineStr">
        <is>
          <t>opex.salary</t>
        </is>
      </c>
    </row>
    <row r="15">
      <c r="A15" s="27" t="n">
        <v>11</v>
      </c>
      <c r="B15" s="28" t="inlineStr">
        <is>
          <t>ИП МУХАНОВ АРТЕМИЙ МИХАЙЛОВИЧ</t>
        </is>
      </c>
      <c r="C15" s="27" t="inlineStr">
        <is>
          <t>opex</t>
        </is>
      </c>
      <c r="D15" s="28" t="inlineStr">
        <is>
          <t>770974539080</t>
        </is>
      </c>
      <c r="E15" s="27" t="n">
        <v>2</v>
      </c>
      <c r="F15" s="18" t="n">
        <v>79800</v>
      </c>
      <c r="G15" s="29" t="n">
        <v>0.0166288028686427</v>
      </c>
      <c r="H15" s="28" t="inlineStr">
        <is>
          <t>opex.rent</t>
        </is>
      </c>
    </row>
    <row r="16">
      <c r="A16" s="27" t="n">
        <v>12</v>
      </c>
      <c r="B16" s="28" t="inlineStr">
        <is>
          <t>ООО "ЦЕНЗОР"</t>
        </is>
      </c>
      <c r="C16" s="27" t="inlineStr">
        <is>
          <t>opex</t>
        </is>
      </c>
      <c r="D16" s="28" t="inlineStr">
        <is>
          <t>6155067714</t>
        </is>
      </c>
      <c r="E16" s="27" t="n">
        <v>1</v>
      </c>
      <c r="F16" s="18" t="n">
        <v>66100</v>
      </c>
      <c r="G16" s="29" t="n">
        <v>0.01377398332853738</v>
      </c>
      <c r="H16" s="28" t="inlineStr">
        <is>
          <t>opex.training</t>
        </is>
      </c>
    </row>
    <row r="17">
      <c r="A17" s="27" t="n">
        <v>13</v>
      </c>
      <c r="B17" s="28" t="inlineStr">
        <is>
          <t>ООО"ДЕЛОВЫЕ ЛИНИИ"</t>
        </is>
      </c>
      <c r="C17" s="27" t="inlineStr">
        <is>
          <t>opex</t>
        </is>
      </c>
      <c r="D17" s="28" t="inlineStr">
        <is>
          <t>7826156685</t>
        </is>
      </c>
      <c r="E17" s="27" t="n">
        <v>3</v>
      </c>
      <c r="F17" s="18" t="n">
        <v>61435</v>
      </c>
      <c r="G17" s="29" t="n">
        <v>0.01280188601798326</v>
      </c>
      <c r="H17" s="28" t="inlineStr">
        <is>
          <t>opex.shipping</t>
        </is>
      </c>
    </row>
    <row r="18">
      <c r="A18" s="27" t="n">
        <v>14</v>
      </c>
      <c r="B18" s="28" t="inlineStr">
        <is>
          <t>КУЛИНИЧ ОЛЕГ АЛЕКСАНДРОВИЧ</t>
        </is>
      </c>
      <c r="C18" s="27" t="inlineStr">
        <is>
          <t>opex</t>
        </is>
      </c>
      <c r="D18" s="28" t="inlineStr">
        <is>
          <t>0</t>
        </is>
      </c>
      <c r="E18" s="27" t="n">
        <v>3</v>
      </c>
      <c r="F18" s="18" t="n">
        <v>52200</v>
      </c>
      <c r="G18" s="29" t="n">
        <v>0.01087748759076628</v>
      </c>
      <c r="H18" s="28" t="inlineStr">
        <is>
          <t>opex.salary</t>
        </is>
      </c>
    </row>
    <row r="19">
      <c r="A19" s="27" t="n">
        <v>15</v>
      </c>
      <c r="B19" s="28" t="inlineStr">
        <is>
          <t>ОБЩЕСТВО С ОГРАНИЧЕННОЙ ОТВЕТСТВЕННОСТЬЮ "КОММУНАЛЬНИК"</t>
        </is>
      </c>
      <c r="C19" s="27" t="inlineStr">
        <is>
          <t>opex</t>
        </is>
      </c>
      <c r="D19" s="28" t="inlineStr">
        <is>
          <t>7730714642</t>
        </is>
      </c>
      <c r="E19" s="27" t="n">
        <v>2</v>
      </c>
      <c r="F19" s="18" t="n">
        <v>41197</v>
      </c>
      <c r="G19" s="29" t="n">
        <v>0.008584671576183877</v>
      </c>
      <c r="H19" s="28" t="inlineStr">
        <is>
          <t>opex.utilities</t>
        </is>
      </c>
    </row>
    <row r="20">
      <c r="A20" s="27" t="n">
        <v>16</v>
      </c>
      <c r="B20" s="28" t="inlineStr">
        <is>
          <t>АО "ПФ "СКБ КОНТУР"</t>
        </is>
      </c>
      <c r="C20" s="27" t="inlineStr">
        <is>
          <t>opex</t>
        </is>
      </c>
      <c r="D20" s="28" t="inlineStr">
        <is>
          <t>6663003127</t>
        </is>
      </c>
      <c r="E20" s="27" t="n">
        <v>2</v>
      </c>
      <c r="F20" s="18" t="n">
        <v>38400</v>
      </c>
      <c r="G20" s="29" t="n">
        <v>0.008001829951828066</v>
      </c>
      <c r="H20" s="28" t="inlineStr">
        <is>
          <t>opex.software</t>
        </is>
      </c>
    </row>
    <row r="21">
      <c r="A21" s="27" t="n">
        <v>17</v>
      </c>
      <c r="B21" s="28" t="inlineStr">
        <is>
          <t>ИП Мельникова Наталия Вячеславовна</t>
        </is>
      </c>
      <c r="C21" s="27" t="inlineStr">
        <is>
          <t>opex</t>
        </is>
      </c>
      <c r="D21" s="28" t="inlineStr">
        <is>
          <t>504109335630</t>
        </is>
      </c>
      <c r="E21" s="27" t="n">
        <v>1</v>
      </c>
      <c r="F21" s="18" t="n">
        <v>32700</v>
      </c>
      <c r="G21" s="29" t="n">
        <v>0.006814058318353589</v>
      </c>
      <c r="H21" s="28" t="inlineStr">
        <is>
          <t>opex.accounting</t>
        </is>
      </c>
    </row>
    <row r="22">
      <c r="A22" s="27" t="n">
        <v>18</v>
      </c>
      <c r="B22" s="28" t="inlineStr">
        <is>
          <t>ООО "ОВИКОМ"</t>
        </is>
      </c>
      <c r="C22" s="27" t="inlineStr">
        <is>
          <t>opex</t>
        </is>
      </c>
      <c r="D22" s="28" t="inlineStr">
        <is>
          <t>9721257369</t>
        </is>
      </c>
      <c r="E22" s="27" t="n">
        <v>2</v>
      </c>
      <c r="F22" s="18" t="n">
        <v>27260</v>
      </c>
      <c r="G22" s="29" t="n">
        <v>0.005680465741844613</v>
      </c>
      <c r="H22" s="28" t="inlineStr">
        <is>
          <t>opex.vehicle_maint</t>
        </is>
      </c>
    </row>
    <row r="23">
      <c r="A23" s="27" t="n">
        <v>19</v>
      </c>
      <c r="B23" s="28" t="inlineStr">
        <is>
          <t>ООО "1С-РАРУС ИНТЕГРАЦИОННЫЕ ПРОЕКТЫ"</t>
        </is>
      </c>
      <c r="C23" s="27" t="inlineStr">
        <is>
          <t>opex</t>
        </is>
      </c>
      <c r="D23" s="28" t="inlineStr">
        <is>
          <t>7717154350</t>
        </is>
      </c>
      <c r="E23" s="27" t="n">
        <v>3</v>
      </c>
      <c r="F23" s="18" t="n">
        <v>25774</v>
      </c>
      <c r="G23" s="29" t="n">
        <v>0.005370811593187932</v>
      </c>
      <c r="H23" s="28" t="inlineStr">
        <is>
          <t>opex.software</t>
        </is>
      </c>
    </row>
    <row r="24">
      <c r="A24" s="27" t="n">
        <v>20</v>
      </c>
      <c r="B24" s="28" t="inlineStr">
        <is>
          <t>ИП ЗАРЕЦКИЙ АЛЕКСЕЙ АЛЕКСАНДРОВИЧ</t>
        </is>
      </c>
      <c r="C24" s="27" t="inlineStr">
        <is>
          <t>opex</t>
        </is>
      </c>
      <c r="D24" s="28" t="inlineStr">
        <is>
          <t>771997056186</t>
        </is>
      </c>
      <c r="E24" s="27" t="n">
        <v>6</v>
      </c>
      <c r="F24" s="18" t="n">
        <v>18000</v>
      </c>
      <c r="G24" s="29" t="n">
        <v>0.003750857789919406</v>
      </c>
      <c r="H24" s="28" t="inlineStr">
        <is>
          <t>opex.rent</t>
        </is>
      </c>
    </row>
    <row r="25">
      <c r="A25" s="27" t="n">
        <v>21</v>
      </c>
      <c r="B25" s="28" t="inlineStr">
        <is>
          <t>ООО "МАНГО ТЕЛЕКОМ"</t>
        </is>
      </c>
      <c r="C25" s="27" t="inlineStr">
        <is>
          <t>opex</t>
        </is>
      </c>
      <c r="D25" s="28" t="inlineStr">
        <is>
          <t>7709501144</t>
        </is>
      </c>
      <c r="E25" s="27" t="n">
        <v>2</v>
      </c>
      <c r="F25" s="18" t="n">
        <v>17000</v>
      </c>
      <c r="G25" s="29" t="n">
        <v>0.003542476801590551</v>
      </c>
      <c r="H25" s="28" t="inlineStr">
        <is>
          <t>opex.telecom</t>
        </is>
      </c>
    </row>
    <row r="26">
      <c r="A26" s="27" t="n">
        <v>22</v>
      </c>
      <c r="B26" s="28" t="inlineStr">
        <is>
          <t>ИП Плуталов Александр Александрович</t>
        </is>
      </c>
      <c r="C26" s="27" t="inlineStr">
        <is>
          <t>opex</t>
        </is>
      </c>
      <c r="D26" s="28" t="inlineStr">
        <is>
          <t>262902028033</t>
        </is>
      </c>
      <c r="E26" s="27" t="n">
        <v>7</v>
      </c>
      <c r="F26" s="18" t="n">
        <v>15566.86</v>
      </c>
      <c r="G26" s="29" t="n">
        <v>0.003243837671976934</v>
      </c>
      <c r="H26" s="28" t="inlineStr">
        <is>
          <t>opex.shipping</t>
        </is>
      </c>
    </row>
    <row r="27">
      <c r="A27" s="27" t="n">
        <v>23</v>
      </c>
      <c r="B27" s="28" t="inlineStr">
        <is>
          <t>ООО "Банк Точка"</t>
        </is>
      </c>
      <c r="C27" s="27" t="inlineStr">
        <is>
          <t>opex</t>
        </is>
      </c>
      <c r="D27" s="28" t="inlineStr">
        <is>
          <t>9721194461</t>
        </is>
      </c>
      <c r="E27" s="27" t="n">
        <v>5</v>
      </c>
      <c r="F27" s="18" t="n">
        <v>7140</v>
      </c>
      <c r="G27" s="29" t="n">
        <v>0.001487840256668031</v>
      </c>
      <c r="H27" s="28" t="inlineStr">
        <is>
          <t>opex.bank_fees</t>
        </is>
      </c>
    </row>
    <row r="28">
      <c r="A28" s="27" t="n">
        <v>24</v>
      </c>
      <c r="B28" s="28" t="inlineStr">
        <is>
          <t>УФК по г. Москве (ОСФР по г. Москве и Московской области, л/с 04734Ф73010)</t>
        </is>
      </c>
      <c r="C28" s="27" t="inlineStr">
        <is>
          <t>tax</t>
        </is>
      </c>
      <c r="D28" s="28" t="inlineStr">
        <is>
          <t>7703363868</t>
        </is>
      </c>
      <c r="E28" s="27" t="n">
        <v>3</v>
      </c>
      <c r="F28" s="18" t="n">
        <v>1438.19</v>
      </c>
      <c r="G28" s="29" t="n">
        <v>0.0002996914536046773</v>
      </c>
      <c r="H28" s="28" t="inlineStr">
        <is>
          <t>tax.social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16" customWidth="1" min="4" max="4"/>
    <col width="9" customWidth="1" min="5" max="5"/>
    <col width="24" customWidth="1" min="6" max="6"/>
    <col width="16" customWidth="1" min="7" max="7"/>
    <col width="16" customWidth="1" min="8" max="8"/>
    <col width="7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Операции (categorized.csv)</t>
        </is>
      </c>
    </row>
    <row r="2">
      <c r="A2" s="2" t="inlineStr">
        <is>
          <t>Все строки выписки + правило категоризации</t>
        </is>
      </c>
    </row>
    <row r="4">
      <c r="A4" s="14" t="inlineStr">
        <is>
          <t>Дата опер.</t>
        </is>
      </c>
      <c r="B4" s="14" t="inlineStr">
        <is>
          <t>№ док.</t>
        </is>
      </c>
      <c r="C4" s="13" t="inlineStr">
        <is>
          <t>Контрагент</t>
        </is>
      </c>
      <c r="D4" s="14" t="inlineStr">
        <is>
          <t>ИНН</t>
        </is>
      </c>
      <c r="E4" s="14" t="inlineStr">
        <is>
          <t>Сторона</t>
        </is>
      </c>
      <c r="F4" s="13" t="inlineStr">
        <is>
          <t>Категория</t>
        </is>
      </c>
      <c r="G4" s="14" t="inlineStr">
        <is>
          <t>Дебет, ₽</t>
        </is>
      </c>
      <c r="H4" s="14" t="inlineStr">
        <is>
          <t>Кредит, ₽</t>
        </is>
      </c>
      <c r="I4" s="14" t="inlineStr">
        <is>
          <t>НДС, ставка</t>
        </is>
      </c>
      <c r="J4" s="14" t="inlineStr">
        <is>
          <t>НДС, сумма ₽</t>
        </is>
      </c>
      <c r="K4" s="14" t="inlineStr">
        <is>
          <t>Нетто, ₽</t>
        </is>
      </c>
      <c r="L4" s="13" t="inlineStr">
        <is>
          <t>Назначение</t>
        </is>
      </c>
    </row>
    <row r="5">
      <c r="A5" s="30" t="inlineStr">
        <is>
          <t>2026-01-12</t>
        </is>
      </c>
      <c r="B5" s="30" t="inlineStr">
        <is>
          <t>1</t>
        </is>
      </c>
      <c r="C5" s="31" t="inlineStr">
        <is>
          <t>ИП ФИНК АНАСТАСИЯ ВАЛЕНТИНОВНА</t>
        </is>
      </c>
      <c r="D5" s="31" t="inlineStr">
        <is>
          <t>230213791552</t>
        </is>
      </c>
      <c r="E5" s="30" t="inlineStr">
        <is>
          <t>cogs</t>
        </is>
      </c>
      <c r="F5" s="31" t="inlineStr">
        <is>
          <t>cogs.manufacturing</t>
        </is>
      </c>
      <c r="G5" s="32" t="n">
        <v>100000</v>
      </c>
      <c r="J5" s="32" t="n">
        <v>0</v>
      </c>
      <c r="K5" s="32" t="n">
        <v>100000</v>
      </c>
      <c r="L5" s="12" t="inlineStr">
        <is>
          <t>Оплата по договору б/н от 24.10.2023 г. за монтаж систем кондиционирования воздуха без НДС</t>
        </is>
      </c>
    </row>
    <row r="6">
      <c r="A6" s="30" t="inlineStr">
        <is>
          <t>2026-01-12</t>
        </is>
      </c>
      <c r="B6" s="30" t="inlineStr">
        <is>
          <t>1</t>
        </is>
      </c>
      <c r="C6" s="31" t="inlineStr">
        <is>
          <t>ООО "ЭЛИОН"</t>
        </is>
      </c>
      <c r="D6" s="31" t="inlineStr">
        <is>
          <t>9728157660</t>
        </is>
      </c>
      <c r="E6" s="30" t="inlineStr">
        <is>
          <t>revenue</t>
        </is>
      </c>
      <c r="F6" s="31" t="inlineStr">
        <is>
          <t>revenue.direct_b2b</t>
        </is>
      </c>
      <c r="H6" s="32" t="n">
        <v>300000</v>
      </c>
      <c r="I6" s="33" t="n">
        <v>0.2</v>
      </c>
      <c r="J6" s="32" t="n">
        <v>50000</v>
      </c>
      <c r="K6" s="32" t="n">
        <v>250000</v>
      </c>
      <c r="L6" s="12" t="inlineStr">
        <is>
          <t>Оплата за товар. Сумма 300000-00 в т.ч. НДС 20% 50000.00</t>
        </is>
      </c>
    </row>
    <row r="7">
      <c r="A7" s="30" t="inlineStr">
        <is>
          <t>2026-01-12</t>
        </is>
      </c>
      <c r="B7" s="30" t="inlineStr">
        <is>
          <t>2</t>
        </is>
      </c>
      <c r="C7" s="31" t="inlineStr">
        <is>
          <t>Индивидуальный предприниматель Халатник Николай Владимирович</t>
        </is>
      </c>
      <c r="D7" s="31" t="inlineStr">
        <is>
          <t>772074981250</t>
        </is>
      </c>
      <c r="E7" s="30" t="inlineStr">
        <is>
          <t>opex</t>
        </is>
      </c>
      <c r="F7" s="31" t="inlineStr">
        <is>
          <t>opex.transport</t>
        </is>
      </c>
      <c r="G7" s="32" t="n">
        <v>25000</v>
      </c>
      <c r="J7" s="32" t="n">
        <v>0</v>
      </c>
      <c r="K7" s="32" t="n">
        <v>25000</v>
      </c>
      <c r="L7" s="12" t="inlineStr">
        <is>
          <t>Оказание транспортных услуг по перевозке грузов по договору 07102021ХА от 07.10.2021 без НДС</t>
        </is>
      </c>
    </row>
    <row r="8">
      <c r="A8" s="30" t="inlineStr">
        <is>
          <t>2026-01-12</t>
        </is>
      </c>
      <c r="B8" s="30" t="inlineStr">
        <is>
          <t>278</t>
        </is>
      </c>
      <c r="C8" s="31" t="inlineStr">
        <is>
          <t>КУЛИНИЧ ОЛЕГ АЛЕКСАНДРОВИЧ</t>
        </is>
      </c>
      <c r="D8" s="31" t="inlineStr">
        <is>
          <t>0</t>
        </is>
      </c>
      <c r="E8" s="30" t="inlineStr">
        <is>
          <t>opex</t>
        </is>
      </c>
      <c r="F8" s="31" t="inlineStr">
        <is>
          <t>opex.salary</t>
        </is>
      </c>
      <c r="G8" s="32" t="n">
        <v>17400</v>
      </c>
      <c r="J8" s="32" t="n">
        <v>0</v>
      </c>
      <c r="K8" s="32" t="n">
        <v>17400</v>
      </c>
      <c r="L8" s="12" t="inlineStr">
        <is>
          <t>Заработная плата за ноябрь 2025 г.</t>
        </is>
      </c>
    </row>
    <row r="9">
      <c r="A9" s="30" t="inlineStr">
        <is>
          <t>2026-01-12</t>
        </is>
      </c>
      <c r="B9" s="30" t="inlineStr">
        <is>
          <t>3</t>
        </is>
      </c>
      <c r="C9" s="31" t="inlineStr">
        <is>
          <t>Халатник Николай Владимирович ИП</t>
        </is>
      </c>
      <c r="D9" s="31" t="inlineStr">
        <is>
          <t>772074981250</t>
        </is>
      </c>
      <c r="E9" s="30" t="inlineStr">
        <is>
          <t>opex</t>
        </is>
      </c>
      <c r="F9" s="31" t="inlineStr">
        <is>
          <t>opex.transport</t>
        </is>
      </c>
      <c r="G9" s="32" t="n">
        <v>50000</v>
      </c>
      <c r="J9" s="32" t="n">
        <v>0</v>
      </c>
      <c r="K9" s="32" t="n">
        <v>50000</v>
      </c>
      <c r="L9" s="12" t="inlineStr">
        <is>
          <t>Оказание транспортных услуг по перевозке грузов по договору 07102021ХА от 07.10.2021 без НДС</t>
        </is>
      </c>
    </row>
    <row r="10">
      <c r="A10" s="30" t="inlineStr">
        <is>
          <t>2026-01-12</t>
        </is>
      </c>
      <c r="B10" s="30" t="inlineStr">
        <is>
          <t>4</t>
        </is>
      </c>
      <c r="C10" s="31" t="inlineStr">
        <is>
          <t>Индивидуальный предприниматель Халатник Николай Владимирович</t>
        </is>
      </c>
      <c r="D10" s="31" t="inlineStr">
        <is>
          <t>772074981250</t>
        </is>
      </c>
      <c r="E10" s="30" t="inlineStr">
        <is>
          <t>opex</t>
        </is>
      </c>
      <c r="F10" s="31" t="inlineStr">
        <is>
          <t>opex.transport</t>
        </is>
      </c>
      <c r="G10" s="32" t="n">
        <v>50000</v>
      </c>
      <c r="J10" s="32" t="n">
        <v>0</v>
      </c>
      <c r="K10" s="32" t="n">
        <v>50000</v>
      </c>
      <c r="L10" s="12" t="inlineStr">
        <is>
          <t>Оказание транспортных услуг по перевозке грузов по договору 07102021ХА от 07.10.2021 без НДС</t>
        </is>
      </c>
    </row>
    <row r="11">
      <c r="A11" s="30" t="inlineStr">
        <is>
          <t>2026-01-12</t>
        </is>
      </c>
      <c r="B11" s="30" t="inlineStr">
        <is>
          <t>426190</t>
        </is>
      </c>
      <c r="C11" s="31" t="inlineStr">
        <is>
          <t>ООО Интернет Решения</t>
        </is>
      </c>
      <c r="D11" s="31" t="inlineStr">
        <is>
          <t>7704217370</t>
        </is>
      </c>
      <c r="E11" s="30" t="inlineStr">
        <is>
          <t>revenue</t>
        </is>
      </c>
      <c r="F11" s="31" t="inlineStr">
        <is>
          <t>revenue.marketplace_ozon</t>
        </is>
      </c>
      <c r="H11" s="32" t="n">
        <v>60274.77</v>
      </c>
      <c r="I11" s="33" t="n">
        <v>0.2</v>
      </c>
      <c r="J11" s="32" t="n">
        <v>10045.8</v>
      </c>
      <c r="K11" s="32" t="n">
        <v>50228.97</v>
      </c>
      <c r="L11" s="12" t="inlineStr">
        <is>
          <t>Оплата за тов. по дог. ИР-19008/20 от 20.05.2020 согл.сч.№№:34015093 от 15.12.25,35349997 от 05.01.26.</t>
        </is>
      </c>
    </row>
    <row r="12">
      <c r="A12" s="30" t="inlineStr">
        <is>
          <t>2026-01-12</t>
        </is>
      </c>
      <c r="B12" s="30" t="inlineStr">
        <is>
          <t>910279</t>
        </is>
      </c>
      <c r="C12" s="31" t="inlineStr">
        <is>
          <t>ООО "Банк Точка"</t>
        </is>
      </c>
      <c r="D12" s="31" t="inlineStr">
        <is>
          <t>9721194461</t>
        </is>
      </c>
      <c r="E12" s="30" t="inlineStr">
        <is>
          <t>opex</t>
        </is>
      </c>
      <c r="F12" s="31" t="inlineStr">
        <is>
          <t>opex.bank_fees</t>
        </is>
      </c>
      <c r="G12" s="32" t="n">
        <v>950</v>
      </c>
      <c r="J12" s="32" t="n">
        <v>0</v>
      </c>
      <c r="K12" s="32" t="n">
        <v>950</v>
      </c>
      <c r="L12" s="12" t="inlineStr">
        <is>
          <t>Оплата лицензионного вознаграждения за использование базовой лицензии ПК Сервис Точка по тариф.пакету «Начало» за период с 01.01.26 по 31.01.26. Согласно Правилам ДО. НДС не предусмотрен.</t>
        </is>
      </c>
    </row>
    <row r="13">
      <c r="A13" s="30" t="inlineStr">
        <is>
          <t>2026-01-14</t>
        </is>
      </c>
      <c r="B13" s="30" t="inlineStr">
        <is>
          <t>610028</t>
        </is>
      </c>
      <c r="C13" s="31" t="inlineStr">
        <is>
          <t>ООО Интернет Решения</t>
        </is>
      </c>
      <c r="D13" s="31" t="inlineStr">
        <is>
          <t>7704217370</t>
        </is>
      </c>
      <c r="E13" s="30" t="inlineStr">
        <is>
          <t>revenue</t>
        </is>
      </c>
      <c r="F13" s="31" t="inlineStr">
        <is>
          <t>revenue.marketplace_ozon</t>
        </is>
      </c>
      <c r="H13" s="32" t="n">
        <v>28024.18</v>
      </c>
      <c r="I13" s="33" t="n">
        <v>0.2</v>
      </c>
      <c r="J13" s="32" t="n">
        <v>4670.7</v>
      </c>
      <c r="K13" s="32" t="n">
        <v>23353.48</v>
      </c>
      <c r="L13" s="12" t="inlineStr">
        <is>
          <t>Оплата за тов. по дог. ИР-19008/20 от 20.05.2020 согл.сч.№№:34241683 от 22.12.25.</t>
        </is>
      </c>
    </row>
    <row r="14">
      <c r="A14" s="30" t="inlineStr">
        <is>
          <t>2026-01-15</t>
        </is>
      </c>
      <c r="B14" s="30" t="inlineStr">
        <is>
          <t>3</t>
        </is>
      </c>
      <c r="C14" s="31" t="inlineStr">
        <is>
          <t>ООО "ЭЛИОН"</t>
        </is>
      </c>
      <c r="D14" s="31" t="inlineStr">
        <is>
          <t>9728157660</t>
        </is>
      </c>
      <c r="E14" s="30" t="inlineStr">
        <is>
          <t>revenue</t>
        </is>
      </c>
      <c r="F14" s="31" t="inlineStr">
        <is>
          <t>revenue.direct_b2b</t>
        </is>
      </c>
      <c r="H14" s="32" t="n">
        <v>18000</v>
      </c>
      <c r="I14" s="33" t="n">
        <v>0.2</v>
      </c>
      <c r="J14" s="32" t="n">
        <v>3000</v>
      </c>
      <c r="K14" s="32" t="n">
        <v>15000</v>
      </c>
      <c r="L14" s="12" t="inlineStr">
        <is>
          <t>Оплата за товар. Сумма 18000-00 в т.ч. НДС 20% 3000.00</t>
        </is>
      </c>
    </row>
    <row r="15">
      <c r="A15" s="30" t="inlineStr">
        <is>
          <t>2026-01-16</t>
        </is>
      </c>
      <c r="B15" s="30" t="inlineStr">
        <is>
          <t>400</t>
        </is>
      </c>
      <c r="C15" s="31" t="inlineStr">
        <is>
          <t>Казначейство России (ФНС России)</t>
        </is>
      </c>
      <c r="D15" s="31" t="inlineStr">
        <is>
          <t>7727406020</t>
        </is>
      </c>
      <c r="E15" s="30" t="inlineStr">
        <is>
          <t>tax</t>
        </is>
      </c>
      <c r="F15" s="31" t="inlineStr">
        <is>
          <t>tax.fns</t>
        </is>
      </c>
      <c r="G15" s="32" t="n">
        <v>166496.8</v>
      </c>
      <c r="J15" s="32" t="n">
        <v>0</v>
      </c>
      <c r="K15" s="32" t="n">
        <v>166496.8</v>
      </c>
      <c r="L15" s="12" t="inlineStr">
        <is>
          <t>По решению о взыскании от 26.12.2025 № 19733 по ст.46 НК РФ</t>
        </is>
      </c>
    </row>
    <row r="16">
      <c r="A16" s="30" t="inlineStr">
        <is>
          <t>2026-01-19</t>
        </is>
      </c>
      <c r="B16" s="30" t="inlineStr">
        <is>
          <t>5</t>
        </is>
      </c>
      <c r="C16" s="31" t="inlineStr">
        <is>
          <t>ООО "ЭЛИОН"</t>
        </is>
      </c>
      <c r="D16" s="31" t="inlineStr">
        <is>
          <t>9728157660</t>
        </is>
      </c>
      <c r="E16" s="30" t="inlineStr">
        <is>
          <t>revenue</t>
        </is>
      </c>
      <c r="F16" s="31" t="inlineStr">
        <is>
          <t>revenue.direct_b2b</t>
        </is>
      </c>
      <c r="H16" s="32" t="n">
        <v>3000</v>
      </c>
      <c r="I16" s="33" t="n">
        <v>0.2</v>
      </c>
      <c r="J16" s="32" t="n">
        <v>500</v>
      </c>
      <c r="K16" s="32" t="n">
        <v>2500</v>
      </c>
      <c r="L16" s="12" t="inlineStr">
        <is>
          <t>Оплата за товар. Сумма 3000-00 в т.ч. НДС 20% 500.00</t>
        </is>
      </c>
    </row>
    <row r="17">
      <c r="A17" s="30" t="inlineStr">
        <is>
          <t>2026-01-20</t>
        </is>
      </c>
      <c r="B17" s="30" t="inlineStr">
        <is>
          <t>400</t>
        </is>
      </c>
      <c r="C17" s="31" t="inlineStr">
        <is>
          <t>Казначейство России (ФНС России)</t>
        </is>
      </c>
      <c r="D17" s="31" t="inlineStr">
        <is>
          <t>7727406020</t>
        </is>
      </c>
      <c r="E17" s="30" t="inlineStr">
        <is>
          <t>tax</t>
        </is>
      </c>
      <c r="F17" s="31" t="inlineStr">
        <is>
          <t>tax.fns</t>
        </is>
      </c>
      <c r="G17" s="32" t="n">
        <v>86.97</v>
      </c>
      <c r="J17" s="32" t="n">
        <v>0</v>
      </c>
      <c r="K17" s="32" t="n">
        <v>86.97</v>
      </c>
      <c r="L17" s="12" t="inlineStr">
        <is>
          <t>По решению о взыскании от 26.12.2025 № 19733 по ст.46 НК РФ</t>
        </is>
      </c>
    </row>
    <row r="18">
      <c r="A18" s="30" t="inlineStr">
        <is>
          <t>2026-01-20</t>
        </is>
      </c>
      <c r="B18" s="30" t="inlineStr">
        <is>
          <t>448839</t>
        </is>
      </c>
      <c r="C18" s="31" t="inlineStr">
        <is>
          <t>Общество с ограниченной ответственностью "Интернет Решения"</t>
        </is>
      </c>
      <c r="D18" s="31" t="inlineStr">
        <is>
          <t>7704217370</t>
        </is>
      </c>
      <c r="E18" s="30" t="inlineStr">
        <is>
          <t>revenue</t>
        </is>
      </c>
      <c r="F18" s="31" t="inlineStr">
        <is>
          <t>revenue.marketplace_ozon</t>
        </is>
      </c>
      <c r="H18" s="32" t="n">
        <v>47257.61</v>
      </c>
      <c r="I18" s="33" t="n">
        <v>0.2</v>
      </c>
      <c r="J18" s="32" t="n">
        <v>7876.27</v>
      </c>
      <c r="K18" s="32" t="n">
        <v>39381.34</v>
      </c>
      <c r="L18" s="12" t="inlineStr">
        <is>
          <t>по договору ИР-19008/20 от 20.05.2020 за выкупленные товары согл.сч.№№ 35771130 от 19.01.26.</t>
        </is>
      </c>
    </row>
    <row r="19">
      <c r="A19" s="30" t="inlineStr">
        <is>
          <t>2026-01-20</t>
        </is>
      </c>
      <c r="B19" s="30" t="inlineStr">
        <is>
          <t>5</t>
        </is>
      </c>
      <c r="C19" s="31" t="inlineStr">
        <is>
          <t>ПАО "ЛК "ЕВРОПЛАН"</t>
        </is>
      </c>
      <c r="D19" s="31" t="inlineStr">
        <is>
          <t>9705101614</t>
        </is>
      </c>
      <c r="E19" s="30" t="inlineStr">
        <is>
          <t>opex</t>
        </is>
      </c>
      <c r="F19" s="31" t="inlineStr">
        <is>
          <t>opex.leasing_auto</t>
        </is>
      </c>
      <c r="G19" s="32" t="n">
        <v>32763.13</v>
      </c>
      <c r="I19" s="33" t="n">
        <v>0.2</v>
      </c>
      <c r="J19" s="32" t="n">
        <v>5460.52</v>
      </c>
      <c r="K19" s="32" t="n">
        <v>27302.61</v>
      </c>
      <c r="L19" s="12" t="inlineStr">
        <is>
          <t>Оплата по счет у № AB049677207 от 01 января 2026 за топливо по договору № AB049677207 от 11 сентября 2025 г в т.ч. НДС 20% 5460.52</t>
        </is>
      </c>
    </row>
    <row r="20">
      <c r="A20" s="30" t="inlineStr">
        <is>
          <t>2026-01-20</t>
        </is>
      </c>
      <c r="B20" s="30" t="inlineStr">
        <is>
          <t>6</t>
        </is>
      </c>
      <c r="C20" s="31" t="inlineStr">
        <is>
          <t>ООО "ЭЛИОН"</t>
        </is>
      </c>
      <c r="D20" s="31" t="inlineStr">
        <is>
          <t>9728157660</t>
        </is>
      </c>
      <c r="E20" s="30" t="inlineStr">
        <is>
          <t>revenue</t>
        </is>
      </c>
      <c r="F20" s="31" t="inlineStr">
        <is>
          <t>revenue.direct_b2b</t>
        </is>
      </c>
      <c r="H20" s="32" t="n">
        <v>140000</v>
      </c>
      <c r="I20" s="33" t="n">
        <v>0.2</v>
      </c>
      <c r="J20" s="32" t="n">
        <v>23333.33</v>
      </c>
      <c r="K20" s="32" t="n">
        <v>116666.67</v>
      </c>
      <c r="L20" s="12" t="inlineStr">
        <is>
          <t>Оплата за товар. Сумма 140000-00 в т.ч. НДС 20% 23333.33</t>
        </is>
      </c>
    </row>
    <row r="21">
      <c r="A21" s="30" t="inlineStr">
        <is>
          <t>2026-01-20</t>
        </is>
      </c>
      <c r="B21" s="30" t="inlineStr">
        <is>
          <t>7</t>
        </is>
      </c>
      <c r="C21" s="31" t="inlineStr">
        <is>
          <t>ПАО "ЛК "ЕВРОПЛАН"</t>
        </is>
      </c>
      <c r="D21" s="31" t="inlineStr">
        <is>
          <t>9705101614</t>
        </is>
      </c>
      <c r="E21" s="30" t="inlineStr">
        <is>
          <t>opex</t>
        </is>
      </c>
      <c r="F21" s="31" t="inlineStr">
        <is>
          <t>opex.leasing_auto</t>
        </is>
      </c>
      <c r="G21" s="32" t="n">
        <v>108092</v>
      </c>
      <c r="I21" s="33" t="n">
        <v>0.22</v>
      </c>
      <c r="J21" s="32" t="n">
        <v>19492</v>
      </c>
      <c r="K21" s="32" t="n">
        <v>88600</v>
      </c>
      <c r="L21" s="12" t="inlineStr">
        <is>
          <t>Лизинговый платёж по договору№ 2784693-ФЛ/ОПП2-21 от 20.08.2021 в т.ч. НДС 22% 19492.00</t>
        </is>
      </c>
    </row>
    <row r="22">
      <c r="A22" s="30" t="inlineStr">
        <is>
          <t>2026-01-20</t>
        </is>
      </c>
      <c r="B22" s="30" t="inlineStr">
        <is>
          <t>8</t>
        </is>
      </c>
      <c r="C22" s="31" t="inlineStr">
        <is>
          <t>ООО "1С-РАРУС ИНТЕГРАЦИОННЫЕ ПРОЕКТЫ"</t>
        </is>
      </c>
      <c r="D22" s="31" t="inlineStr">
        <is>
          <t>7717154350</t>
        </is>
      </c>
      <c r="E22" s="30" t="inlineStr">
        <is>
          <t>opex</t>
        </is>
      </c>
      <c r="F22" s="31" t="inlineStr">
        <is>
          <t>opex.software</t>
        </is>
      </c>
      <c r="G22" s="32" t="n">
        <v>10287</v>
      </c>
      <c r="I22" s="33" t="n">
        <v>0.22</v>
      </c>
      <c r="J22" s="32" t="n">
        <v>12.98</v>
      </c>
      <c r="K22" s="32" t="n">
        <v>10274.02</v>
      </c>
      <c r="L22" s="12" t="inlineStr">
        <is>
          <t>Оплата по счету на оплату № АЗЭ-0129706 от 20.12.2025 г за право временного использования экземпляров программных продуктов на период с 01.01.2026 г. до 31.01.2026 г.в т.ч. НДС 22% 12,98</t>
        </is>
      </c>
    </row>
    <row r="23">
      <c r="A23" s="30" t="inlineStr">
        <is>
          <t>2026-01-21</t>
        </is>
      </c>
      <c r="B23" s="30" t="inlineStr">
        <is>
          <t>2</t>
        </is>
      </c>
      <c r="C23" s="31" t="inlineStr">
        <is>
          <t>Тарасова Дарья Владимировна</t>
        </is>
      </c>
      <c r="D23" s="31" t="inlineStr">
        <is>
          <t>771570635287</t>
        </is>
      </c>
      <c r="E23" s="30" t="inlineStr">
        <is>
          <t>opex</t>
        </is>
      </c>
      <c r="F23" s="31" t="inlineStr">
        <is>
          <t>opex.salary</t>
        </is>
      </c>
      <c r="G23" s="32" t="n">
        <v>18675.67</v>
      </c>
      <c r="J23" s="32" t="n">
        <v>0</v>
      </c>
      <c r="K23" s="32" t="n">
        <v>18675.67</v>
      </c>
      <c r="L23" s="12" t="inlineStr">
        <is>
          <t>Для зачисления на счет Тарасовой Дарьи Владимировны Заработная плата за Январь 2026 г. Сумма 18675-67 Без налога (НДС)</t>
        </is>
      </c>
    </row>
    <row r="24">
      <c r="A24" s="30" t="inlineStr">
        <is>
          <t>2026-01-21</t>
        </is>
      </c>
      <c r="B24" s="30" t="inlineStr">
        <is>
          <t>545781</t>
        </is>
      </c>
      <c r="C24" s="31" t="inlineStr">
        <is>
          <t>ОБЩЕСТВО С ОГРАНИЧЕННОЙ ОТВЕТСТВЕННОСТЬЮ "ИНТЕРНЕТ РЕШЕНИЯ"</t>
        </is>
      </c>
      <c r="D24" s="31" t="inlineStr">
        <is>
          <t>7704217370</t>
        </is>
      </c>
      <c r="E24" s="30" t="inlineStr">
        <is>
          <t>revenue</t>
        </is>
      </c>
      <c r="F24" s="31" t="inlineStr">
        <is>
          <t>revenue.marketplace_ozon</t>
        </is>
      </c>
      <c r="H24" s="32" t="n">
        <v>51184.28</v>
      </c>
      <c r="I24" s="33" t="n">
        <v>0.2</v>
      </c>
      <c r="J24" s="32" t="n">
        <v>8530.709999999999</v>
      </c>
      <c r="K24" s="32" t="n">
        <v>42653.57</v>
      </c>
      <c r="L24" s="12" t="inlineStr">
        <is>
          <t>Оплата за тов. по дог. ИР-19008/20 от 20.05.2020 согл.сч.№№:34575285 от 29.12.25.</t>
        </is>
      </c>
    </row>
    <row r="25">
      <c r="A25" s="30" t="inlineStr">
        <is>
          <t>2026-01-21</t>
        </is>
      </c>
      <c r="B25" s="30" t="inlineStr">
        <is>
          <t>6</t>
        </is>
      </c>
      <c r="C25" s="31" t="inlineStr">
        <is>
          <t>ООО "АВТОЛИЗИНГ"</t>
        </is>
      </c>
      <c r="D25" s="31" t="inlineStr">
        <is>
          <t>7705357845</t>
        </is>
      </c>
      <c r="E25" s="30" t="inlineStr">
        <is>
          <t>opex</t>
        </is>
      </c>
      <c r="F25" s="31" t="inlineStr">
        <is>
          <t>opex.leasing_auto</t>
        </is>
      </c>
      <c r="G25" s="32" t="n">
        <v>100040</v>
      </c>
      <c r="I25" s="33" t="n">
        <v>0.22</v>
      </c>
      <c r="J25" s="32" t="n">
        <v>18040</v>
      </c>
      <c r="K25" s="32" t="n">
        <v>82000</v>
      </c>
      <c r="L25" s="12" t="inlineStr">
        <is>
          <t>Лизинговый платеж по договору № AA012365184 от 23.06.2023 г. в т.ч. НДС 22% 18040.00</t>
        </is>
      </c>
    </row>
    <row r="26">
      <c r="A26" s="30" t="inlineStr">
        <is>
          <t>2026-01-21</t>
        </is>
      </c>
      <c r="B26" s="30" t="inlineStr">
        <is>
          <t>7</t>
        </is>
      </c>
      <c r="C26" s="31" t="inlineStr">
        <is>
          <t>ООО "ЭЛИОН"</t>
        </is>
      </c>
      <c r="D26" s="31" t="inlineStr">
        <is>
          <t>9728157660</t>
        </is>
      </c>
      <c r="E26" s="30" t="inlineStr">
        <is>
          <t>revenue</t>
        </is>
      </c>
      <c r="F26" s="31" t="inlineStr">
        <is>
          <t>revenue.direct_b2b</t>
        </is>
      </c>
      <c r="H26" s="32" t="n">
        <v>100000</v>
      </c>
      <c r="I26" s="33" t="n">
        <v>0.2</v>
      </c>
      <c r="J26" s="32" t="n">
        <v>16666.67</v>
      </c>
      <c r="K26" s="32" t="n">
        <v>83333.33</v>
      </c>
      <c r="L26" s="12" t="inlineStr">
        <is>
          <t>Оплата за товар. Сумма 100000-00 в т.ч. НДС 20% 16666.67</t>
        </is>
      </c>
    </row>
    <row r="27">
      <c r="A27" s="30" t="inlineStr">
        <is>
          <t>2026-01-22</t>
        </is>
      </c>
      <c r="B27" s="30" t="inlineStr">
        <is>
          <t>287</t>
        </is>
      </c>
      <c r="C27" s="31" t="inlineStr">
        <is>
          <t>ООО "МАНГО ТЕЛЕКОМ"</t>
        </is>
      </c>
      <c r="D27" s="31" t="inlineStr">
        <is>
          <t>7709501144</t>
        </is>
      </c>
      <c r="E27" s="30" t="inlineStr">
        <is>
          <t>opex</t>
        </is>
      </c>
      <c r="F27" s="31" t="inlineStr">
        <is>
          <t>opex.telecom</t>
        </is>
      </c>
      <c r="G27" s="32" t="n">
        <v>10000</v>
      </c>
      <c r="I27" s="33" t="n">
        <v>0.2</v>
      </c>
      <c r="J27" s="32" t="n">
        <v>1666.67</v>
      </c>
      <c r="K27" s="32" t="n">
        <v>8333.33</v>
      </c>
      <c r="L27" s="12" t="inlineStr">
        <is>
          <t>Предоплата за телекоммуникационные услуги связи л/с 16809022 в т.ч. НДС 20% 1666.67</t>
        </is>
      </c>
    </row>
    <row r="28">
      <c r="A28" s="30" t="inlineStr">
        <is>
          <t>2026-01-22</t>
        </is>
      </c>
      <c r="B28" s="30" t="inlineStr">
        <is>
          <t>5</t>
        </is>
      </c>
      <c r="C28" s="31" t="inlineStr">
        <is>
          <t>ООО "ЕВРОПЛАН СЕРВИС"</t>
        </is>
      </c>
      <c r="D28" s="31" t="inlineStr">
        <is>
          <t>7705770795</t>
        </is>
      </c>
      <c r="E28" s="30" t="inlineStr">
        <is>
          <t>opex</t>
        </is>
      </c>
      <c r="F28" s="31" t="inlineStr">
        <is>
          <t>opex.insurance_osago</t>
        </is>
      </c>
      <c r="G28" s="32" t="n">
        <v>25805.94</v>
      </c>
      <c r="J28" s="32" t="n">
        <v>0</v>
      </c>
      <c r="K28" s="32" t="n">
        <v>25805.94</v>
      </c>
      <c r="L28" s="12" t="inlineStr">
        <is>
          <t>Оплата полиса ОСАГО ООО "СК "СОГЛАСИЕ" на ТС XWEJC81DDN0002126 по счету БББ163895 через уполномоченного агента ООО "ЕВРОПЛАН СЕРВИС". без НДС</t>
        </is>
      </c>
    </row>
    <row r="29">
      <c r="A29" s="30" t="inlineStr">
        <is>
          <t>2026-01-22</t>
        </is>
      </c>
      <c r="B29" s="30" t="inlineStr">
        <is>
          <t>6</t>
        </is>
      </c>
      <c r="C29" s="31" t="inlineStr">
        <is>
          <t>ИП ЗАРЕЦКИЙ АЛЕКСЕЙ АЛЕКСАНДРОВИЧ</t>
        </is>
      </c>
      <c r="D29" s="31" t="inlineStr">
        <is>
          <t>771997056186</t>
        </is>
      </c>
      <c r="E29" s="30" t="inlineStr">
        <is>
          <t>opex</t>
        </is>
      </c>
      <c r="F29" s="31" t="inlineStr">
        <is>
          <t>opex.rent</t>
        </is>
      </c>
      <c r="G29" s="32" t="n">
        <v>1600</v>
      </c>
      <c r="I29" s="33" t="n">
        <v>0.05</v>
      </c>
      <c r="J29" s="32" t="n">
        <v>76.19</v>
      </c>
      <c r="K29" s="32" t="n">
        <v>1523.81</v>
      </c>
      <c r="L29" s="12" t="inlineStr">
        <is>
          <t>Аренда антенного комплекса за февраль 2026 г. договор 79982/А от 16.07.2025 в т.ч. НДС 5% 76.19</t>
        </is>
      </c>
    </row>
    <row r="30">
      <c r="A30" s="30" t="inlineStr">
        <is>
          <t>2026-01-22</t>
        </is>
      </c>
      <c r="B30" s="30" t="inlineStr">
        <is>
          <t>7</t>
        </is>
      </c>
      <c r="C30" s="31" t="inlineStr">
        <is>
          <t>ИП ПЛУТАЛОВ АЛЕКСАНДР АЛЕКСАНДРОВИЧ</t>
        </is>
      </c>
      <c r="D30" s="31" t="inlineStr">
        <is>
          <t>262902028033</t>
        </is>
      </c>
      <c r="E30" s="30" t="inlineStr">
        <is>
          <t>opex</t>
        </is>
      </c>
      <c r="F30" s="31" t="inlineStr">
        <is>
          <t>opex.shipping</t>
        </is>
      </c>
      <c r="G30" s="32" t="n">
        <v>830.75</v>
      </c>
      <c r="I30" s="33" t="n">
        <v>0.05</v>
      </c>
      <c r="J30" s="32" t="n">
        <v>39.56</v>
      </c>
      <c r="K30" s="32" t="n">
        <v>791.1900000000001</v>
      </c>
      <c r="L30" s="12" t="inlineStr">
        <is>
          <t>Оплата по счету № ИПЕ-0441727 от 31 декабря 2025 г., за услуги доставки по договору №ИМ-РФ-ИПЕ-681 от 17 июня 2021 г г. в т.ч. НДС 5% 39.56</t>
        </is>
      </c>
    </row>
    <row r="31">
      <c r="A31" s="30" t="inlineStr">
        <is>
          <t>2026-01-27</t>
        </is>
      </c>
      <c r="B31" s="30" t="inlineStr">
        <is>
          <t>10</t>
        </is>
      </c>
      <c r="C31" s="31" t="inlineStr">
        <is>
          <t>ИП МУХАНОВ АРТЕМИЙ МИХАЙЛОВИЧ</t>
        </is>
      </c>
      <c r="D31" s="31" t="inlineStr">
        <is>
          <t>770974539080</t>
        </is>
      </c>
      <c r="E31" s="30" t="inlineStr">
        <is>
          <t>opex</t>
        </is>
      </c>
      <c r="F31" s="31" t="inlineStr">
        <is>
          <t>opex.rent</t>
        </is>
      </c>
      <c r="G31" s="32" t="n">
        <v>39900</v>
      </c>
      <c r="I31" s="33" t="n">
        <v>0.07000000000000001</v>
      </c>
      <c r="J31" s="32" t="n">
        <v>2610.28</v>
      </c>
      <c r="K31" s="32" t="n">
        <v>37289.72</v>
      </c>
      <c r="L31" s="12" t="inlineStr">
        <is>
          <t>Оплата по счету 1040 от 21.01.2026 арендная плата по договору аренды CAXU 924 430 0 от 25.08.20205 г. за февраль 2026 г. в т.ч. НДС 7% 2610.28</t>
        </is>
      </c>
    </row>
    <row r="32">
      <c r="A32" s="30" t="inlineStr">
        <is>
          <t>2026-01-27</t>
        </is>
      </c>
      <c r="B32" s="30" t="inlineStr">
        <is>
          <t>11</t>
        </is>
      </c>
      <c r="C32" s="31" t="inlineStr">
        <is>
          <t>ООО "ЦЕНЗОР"</t>
        </is>
      </c>
      <c r="D32" s="31" t="inlineStr">
        <is>
          <t>6155067714</t>
        </is>
      </c>
      <c r="E32" s="30" t="inlineStr">
        <is>
          <t>opex</t>
        </is>
      </c>
      <c r="F32" s="31" t="inlineStr">
        <is>
          <t>opex.training</t>
        </is>
      </c>
      <c r="G32" s="32" t="n">
        <v>66100</v>
      </c>
      <c r="J32" s="32" t="n">
        <v>0</v>
      </c>
      <c r="K32" s="32" t="n">
        <v>66100</v>
      </c>
      <c r="L32" s="12" t="inlineStr">
        <is>
          <t>Оплата по счету № 52 от 26.01.26 по Договору № 371/ЮЛ-2025 от "19" декабря 2025 г. за программы обучения без НДС</t>
        </is>
      </c>
    </row>
    <row r="33">
      <c r="A33" s="30" t="inlineStr">
        <is>
          <t>2026-01-27</t>
        </is>
      </c>
      <c r="B33" s="30" t="inlineStr">
        <is>
          <t>291</t>
        </is>
      </c>
      <c r="C33" s="31" t="inlineStr">
        <is>
          <t>КУЛИНИЧ ОЛЕГ АЛЕКСАНДРОВИЧ</t>
        </is>
      </c>
      <c r="D33" s="31" t="inlineStr">
        <is>
          <t>0</t>
        </is>
      </c>
      <c r="E33" s="30" t="inlineStr">
        <is>
          <t>opex</t>
        </is>
      </c>
      <c r="F33" s="31" t="inlineStr">
        <is>
          <t>opex.salary</t>
        </is>
      </c>
      <c r="G33" s="32" t="n">
        <v>17400</v>
      </c>
      <c r="J33" s="32" t="n">
        <v>0</v>
      </c>
      <c r="K33" s="32" t="n">
        <v>17400</v>
      </c>
      <c r="L33" s="12" t="inlineStr">
        <is>
          <t>Аванс за декабрь 2025 г.</t>
        </is>
      </c>
    </row>
    <row r="34">
      <c r="A34" s="30" t="inlineStr">
        <is>
          <t>2026-01-27</t>
        </is>
      </c>
      <c r="B34" s="30" t="inlineStr">
        <is>
          <t>293</t>
        </is>
      </c>
      <c r="C34" s="31" t="inlineStr">
        <is>
          <t>МИ ФНС РОССИИ ПО УПРАВЛЕНИЮ ДОЛГОМ</t>
        </is>
      </c>
      <c r="D34" s="31" t="inlineStr">
        <is>
          <t>7727406020</t>
        </is>
      </c>
      <c r="E34" s="30" t="inlineStr">
        <is>
          <t>tax</t>
        </is>
      </c>
      <c r="F34" s="31" t="inlineStr">
        <is>
          <t>tax.fns</t>
        </is>
      </c>
      <c r="G34" s="32" t="n">
        <v>7833</v>
      </c>
      <c r="J34" s="32" t="n">
        <v>0</v>
      </c>
      <c r="K34" s="32" t="n">
        <v>7833</v>
      </c>
      <c r="L34" s="12" t="inlineStr">
        <is>
          <t>Единый налоговый платеж (НДФЛ) без НДС</t>
        </is>
      </c>
    </row>
    <row r="35">
      <c r="A35" s="30" t="inlineStr">
        <is>
          <t>2026-01-27</t>
        </is>
      </c>
      <c r="B35" s="30" t="inlineStr">
        <is>
          <t>7</t>
        </is>
      </c>
      <c r="C35" s="31" t="inlineStr">
        <is>
          <t>ООО "ЭЛИОН"</t>
        </is>
      </c>
      <c r="D35" s="31" t="inlineStr">
        <is>
          <t>9728157660</t>
        </is>
      </c>
      <c r="E35" s="30" t="inlineStr">
        <is>
          <t>revenue</t>
        </is>
      </c>
      <c r="F35" s="31" t="inlineStr">
        <is>
          <t>revenue.direct_b2b</t>
        </is>
      </c>
      <c r="H35" s="32" t="n">
        <v>155000</v>
      </c>
      <c r="I35" s="33" t="n">
        <v>0.2</v>
      </c>
      <c r="J35" s="32" t="n">
        <v>25833.33</v>
      </c>
      <c r="K35" s="32" t="n">
        <v>129166.67</v>
      </c>
      <c r="L35" s="12" t="inlineStr">
        <is>
          <t>Оплата за товар. Сумма 100000-00 в т.ч. НДС 20% 25833.33</t>
        </is>
      </c>
    </row>
    <row r="36">
      <c r="A36" s="30" t="inlineStr">
        <is>
          <t>2026-01-27</t>
        </is>
      </c>
      <c r="B36" s="30" t="inlineStr">
        <is>
          <t>8</t>
        </is>
      </c>
      <c r="C36" s="31" t="inlineStr">
        <is>
          <t>ИП ПЛУТАЛОВ АЛЕКСАНДР АЛЕКСАНДРОВИЧ</t>
        </is>
      </c>
      <c r="D36" s="31" t="inlineStr">
        <is>
          <t>262902028033</t>
        </is>
      </c>
      <c r="E36" s="30" t="inlineStr">
        <is>
          <t>opex</t>
        </is>
      </c>
      <c r="F36" s="31" t="inlineStr">
        <is>
          <t>opex.shipping</t>
        </is>
      </c>
      <c r="G36" s="32" t="n">
        <v>3366.04</v>
      </c>
      <c r="I36" s="33" t="n">
        <v>0.05</v>
      </c>
      <c r="J36" s="32" t="n">
        <v>160.29</v>
      </c>
      <c r="K36" s="32" t="n">
        <v>3205.75</v>
      </c>
      <c r="L36" s="12" t="inlineStr">
        <is>
          <t>Оплата по счету № ИПЕ-0442702 от 25 января 2026 г., за услуги доставки по договору №ИМ-РФ-ИПЕ-681 от 17 июня 2021 г г. в т.ч. НДС 5% 160.29</t>
        </is>
      </c>
    </row>
    <row r="37">
      <c r="A37" s="30" t="inlineStr">
        <is>
          <t>2026-01-27</t>
        </is>
      </c>
      <c r="B37" s="30" t="inlineStr">
        <is>
          <t>9</t>
        </is>
      </c>
      <c r="C37" s="31" t="inlineStr">
        <is>
          <t>АО "ПФ "СКБ КОНТУР"</t>
        </is>
      </c>
      <c r="D37" s="31" t="inlineStr">
        <is>
          <t>6663003127</t>
        </is>
      </c>
      <c r="E37" s="30" t="inlineStr">
        <is>
          <t>opex</t>
        </is>
      </c>
      <c r="F37" s="31" t="inlineStr">
        <is>
          <t>opex.software</t>
        </is>
      </c>
      <c r="G37" s="32" t="n">
        <v>35900</v>
      </c>
      <c r="I37" s="33" t="n">
        <v>0.22</v>
      </c>
      <c r="J37" s="32" t="n">
        <v>1513.03</v>
      </c>
      <c r="K37" s="32" t="n">
        <v>34386.97</v>
      </c>
      <c r="L37" s="12" t="inlineStr">
        <is>
          <t>2693442754 , 7725816938-772401001 ООО "ТЕХСОЛ", Право использования программы для ЭВМ "Контур.Экстерн" 15 мес., 1+4 абонента в т.ч. НДС 22% 1513,03</t>
        </is>
      </c>
    </row>
    <row r="38">
      <c r="A38" s="30" t="inlineStr">
        <is>
          <t>2026-01-27</t>
        </is>
      </c>
      <c r="B38" s="30" t="inlineStr">
        <is>
          <t>9</t>
        </is>
      </c>
      <c r="C38" s="31" t="inlineStr">
        <is>
          <t>ООО "1С-РАРУС ИНТЕГРАЦИОННЫЕ ПРОЕКТЫ"</t>
        </is>
      </c>
      <c r="D38" s="31" t="inlineStr">
        <is>
          <t>7717154350</t>
        </is>
      </c>
      <c r="E38" s="30" t="inlineStr">
        <is>
          <t>opex</t>
        </is>
      </c>
      <c r="F38" s="31" t="inlineStr">
        <is>
          <t>opex.software</t>
        </is>
      </c>
      <c r="G38" s="32" t="n">
        <v>10287</v>
      </c>
      <c r="I38" s="33" t="n">
        <v>0.22</v>
      </c>
      <c r="J38" s="32" t="n">
        <v>12.98</v>
      </c>
      <c r="K38" s="32" t="n">
        <v>10274.02</v>
      </c>
      <c r="L38" s="12" t="inlineStr">
        <is>
          <t>Оплата по счету на оплату № АЗЭ-0138320 от 20.01.2026 г за право временного использования экземпляров программных продуктов на период с 01.02.2026 г. до 28.02.2026 г.в т.ч. НДС 22% 12,98</t>
        </is>
      </c>
    </row>
    <row r="39">
      <c r="A39" s="30" t="inlineStr">
        <is>
          <t>2026-01-28</t>
        </is>
      </c>
      <c r="B39" s="30" t="inlineStr">
        <is>
          <t>621285</t>
        </is>
      </c>
      <c r="C39" s="31" t="inlineStr">
        <is>
          <t>ОБЩЕСТВО С ОГРАНИЧЕННОЙ ОТВЕТСТВЕННОСТЬЮ "ИНТЕРНЕТ РЕШЕНИЯ"</t>
        </is>
      </c>
      <c r="D39" s="31" t="inlineStr">
        <is>
          <t>7704217370</t>
        </is>
      </c>
      <c r="E39" s="30" t="inlineStr">
        <is>
          <t>revenue</t>
        </is>
      </c>
      <c r="F39" s="31" t="inlineStr">
        <is>
          <t>revenue.marketplace_ozon</t>
        </is>
      </c>
      <c r="H39" s="32" t="n">
        <v>22884.84</v>
      </c>
      <c r="I39" s="33" t="n">
        <v>0.2</v>
      </c>
      <c r="J39" s="32" t="n">
        <v>3814.14</v>
      </c>
      <c r="K39" s="32" t="n">
        <v>19070.7</v>
      </c>
      <c r="L39" s="12" t="inlineStr">
        <is>
          <t>Оплата за тов. по дог. ИР-19008/20 от 20.05.2020 согл.сч.№№:34823767,34824164 от 05.01.26.</t>
        </is>
      </c>
    </row>
    <row r="40">
      <c r="A40" s="30" t="inlineStr">
        <is>
          <t>2026-01-29</t>
        </is>
      </c>
      <c r="B40" s="30" t="inlineStr">
        <is>
          <t>14</t>
        </is>
      </c>
      <c r="C40" s="31" t="inlineStr">
        <is>
          <t>Халатник Николай Владимирович ИП</t>
        </is>
      </c>
      <c r="D40" s="31" t="inlineStr">
        <is>
          <t>772074981250</t>
        </is>
      </c>
      <c r="E40" s="30" t="inlineStr">
        <is>
          <t>opex</t>
        </is>
      </c>
      <c r="F40" s="31" t="inlineStr">
        <is>
          <t>opex.transport</t>
        </is>
      </c>
      <c r="G40" s="32" t="n">
        <v>25000</v>
      </c>
      <c r="J40" s="32" t="n">
        <v>0</v>
      </c>
      <c r="K40" s="32" t="n">
        <v>25000</v>
      </c>
      <c r="L40" s="12" t="inlineStr">
        <is>
          <t>Оказание транспортных услуг по перевозке грузов по договору 07102021ХА от 07.10.2021 без НДС</t>
        </is>
      </c>
    </row>
    <row r="41">
      <c r="A41" s="30" t="inlineStr">
        <is>
          <t>2026-01-30</t>
        </is>
      </c>
      <c r="B41" s="30" t="inlineStr">
        <is>
          <t>10</t>
        </is>
      </c>
      <c r="C41" s="31" t="inlineStr">
        <is>
          <t>ООО "ЭЛИОН"</t>
        </is>
      </c>
      <c r="D41" s="31" t="inlineStr">
        <is>
          <t>9728157660</t>
        </is>
      </c>
      <c r="E41" s="30" t="inlineStr">
        <is>
          <t>revenue</t>
        </is>
      </c>
      <c r="F41" s="31" t="inlineStr">
        <is>
          <t>revenue.direct_b2b</t>
        </is>
      </c>
      <c r="H41" s="32" t="n">
        <v>70000</v>
      </c>
      <c r="I41" s="33" t="n">
        <v>0.2</v>
      </c>
      <c r="J41" s="32" t="n">
        <v>11666.67</v>
      </c>
      <c r="K41" s="32" t="n">
        <v>58333.33</v>
      </c>
      <c r="L41" s="12" t="inlineStr">
        <is>
          <t>Оплата за товар. Сумма 70000-00 в т.ч. НДС 20% 11666.67</t>
        </is>
      </c>
    </row>
    <row r="42">
      <c r="A42" s="30" t="inlineStr">
        <is>
          <t>2026-01-30</t>
        </is>
      </c>
      <c r="B42" s="30" t="inlineStr">
        <is>
          <t>12</t>
        </is>
      </c>
      <c r="C42" s="31" t="inlineStr">
        <is>
          <t>ИП ЗАМАРАЕВ АРТЕМ ВИКТОРОВИЧ</t>
        </is>
      </c>
      <c r="D42" s="31" t="inlineStr">
        <is>
          <t>502480058703</t>
        </is>
      </c>
      <c r="E42" s="30" t="inlineStr">
        <is>
          <t>opex</t>
        </is>
      </c>
      <c r="F42" s="31" t="inlineStr">
        <is>
          <t>opex.rent</t>
        </is>
      </c>
      <c r="G42" s="32" t="n">
        <v>34900</v>
      </c>
      <c r="I42" s="33" t="n">
        <v>0.05</v>
      </c>
      <c r="J42" s="32" t="n">
        <v>1661.9</v>
      </c>
      <c r="K42" s="32" t="n">
        <v>33238.1</v>
      </c>
      <c r="L42" s="12" t="inlineStr">
        <is>
          <t>Оплата по счету № 1550 от 27.01.26 обеспечительный платёж по договору № АК-7219 от 01.02.2026 в т.ч. НДС 5% 1661.90</t>
        </is>
      </c>
    </row>
    <row r="43">
      <c r="A43" s="30" t="inlineStr">
        <is>
          <t>2026-01-30</t>
        </is>
      </c>
      <c r="B43" s="30" t="inlineStr">
        <is>
          <t>13</t>
        </is>
      </c>
      <c r="C43" s="31" t="inlineStr">
        <is>
          <t>ИП ЗАМАРАЕВ АРТЕМ ВИКТОРОВИЧ</t>
        </is>
      </c>
      <c r="D43" s="31" t="inlineStr">
        <is>
          <t>502480058703</t>
        </is>
      </c>
      <c r="E43" s="30" t="inlineStr">
        <is>
          <t>opex</t>
        </is>
      </c>
      <c r="F43" s="31" t="inlineStr">
        <is>
          <t>opex.rent</t>
        </is>
      </c>
      <c r="G43" s="32" t="n">
        <v>34900</v>
      </c>
      <c r="I43" s="33" t="n">
        <v>0.05</v>
      </c>
      <c r="J43" s="32" t="n">
        <v>1661.9</v>
      </c>
      <c r="K43" s="32" t="n">
        <v>33238.1</v>
      </c>
      <c r="L43" s="12" t="inlineStr">
        <is>
          <t>Оплата по счету № 1551 от 27.01.26 за аренду контейнера по договору АК-7219 от 01.02.2026 за февраль 2026г в т.ч. НДС 5% 1661.90</t>
        </is>
      </c>
    </row>
    <row r="44">
      <c r="A44" s="30" t="inlineStr">
        <is>
          <t>2026-02-02</t>
        </is>
      </c>
      <c r="B44" s="30" t="inlineStr">
        <is>
          <t>11</t>
        </is>
      </c>
      <c r="C44" s="31" t="inlineStr">
        <is>
          <t>ООО "ЭЛИОН"</t>
        </is>
      </c>
      <c r="D44" s="31" t="inlineStr">
        <is>
          <t>9728157660</t>
        </is>
      </c>
      <c r="E44" s="30" t="inlineStr">
        <is>
          <t>revenue</t>
        </is>
      </c>
      <c r="F44" s="31" t="inlineStr">
        <is>
          <t>revenue.direct_b2b</t>
        </is>
      </c>
      <c r="H44" s="32" t="n">
        <v>100000</v>
      </c>
      <c r="I44" s="33" t="n">
        <v>0.2</v>
      </c>
      <c r="J44" s="32" t="n">
        <v>16666.67</v>
      </c>
      <c r="K44" s="32" t="n">
        <v>83333.33</v>
      </c>
      <c r="L44" s="12" t="inlineStr">
        <is>
          <t>Оплата за товар. Сумма 70000-00 в т.ч. НДС 20% 16666.67</t>
        </is>
      </c>
    </row>
    <row r="45">
      <c r="A45" s="30" t="inlineStr">
        <is>
          <t>2026-02-02</t>
        </is>
      </c>
      <c r="B45" s="30" t="inlineStr">
        <is>
          <t>11</t>
        </is>
      </c>
      <c r="C45" s="31" t="inlineStr">
        <is>
          <t>ООО"ДЕЛОВЫЕ ЛИНИИ"</t>
        </is>
      </c>
      <c r="D45" s="31" t="inlineStr">
        <is>
          <t>7826156685</t>
        </is>
      </c>
      <c r="E45" s="30" t="inlineStr">
        <is>
          <t>opex</t>
        </is>
      </c>
      <c r="F45" s="31" t="inlineStr">
        <is>
          <t>opex.shipping</t>
        </is>
      </c>
      <c r="G45" s="32" t="n">
        <v>9443</v>
      </c>
      <c r="I45" s="33" t="n">
        <v>0.22</v>
      </c>
      <c r="J45" s="32" t="n">
        <v>1702.84</v>
      </c>
      <c r="K45" s="32" t="n">
        <v>7740.16</v>
      </c>
      <c r="L45" s="12" t="inlineStr">
        <is>
          <t>Услуга по организации доставки груза по счету № 26-02731001334 от 02.02.2026 в т.ч. НДС 22% 1702.84</t>
        </is>
      </c>
    </row>
    <row r="46">
      <c r="A46" s="30" t="inlineStr">
        <is>
          <t>2026-02-02</t>
        </is>
      </c>
      <c r="B46" s="30" t="inlineStr">
        <is>
          <t>5</t>
        </is>
      </c>
      <c r="C46" s="31" t="inlineStr">
        <is>
          <t>Тарасова Дарья Владимировна</t>
        </is>
      </c>
      <c r="D46" s="31" t="inlineStr">
        <is>
          <t>771570635287</t>
        </is>
      </c>
      <c r="E46" s="30" t="inlineStr">
        <is>
          <t>opex</t>
        </is>
      </c>
      <c r="F46" s="31" t="inlineStr">
        <is>
          <t>opex.salary</t>
        </is>
      </c>
      <c r="G46" s="32" t="n">
        <v>51359.33</v>
      </c>
      <c r="J46" s="32" t="n">
        <v>0</v>
      </c>
      <c r="K46" s="32" t="n">
        <v>51359.33</v>
      </c>
      <c r="L46" s="12" t="inlineStr">
        <is>
          <t>Для зачисления на счет Тарасовой Дарьи Владимировны Заработная плата за Январь 2026 г. Сумма 51359-33 Без налога (НДС)</t>
        </is>
      </c>
    </row>
    <row r="47">
      <c r="A47" s="30" t="inlineStr">
        <is>
          <t>2026-02-02</t>
        </is>
      </c>
      <c r="B47" s="30" t="inlineStr">
        <is>
          <t>63221</t>
        </is>
      </c>
      <c r="C47" s="31" t="inlineStr">
        <is>
          <t>ООО "Банк Точка"</t>
        </is>
      </c>
      <c r="D47" s="31" t="inlineStr">
        <is>
          <t>9721194461</t>
        </is>
      </c>
      <c r="E47" s="30" t="inlineStr">
        <is>
          <t>opex</t>
        </is>
      </c>
      <c r="F47" s="31" t="inlineStr">
        <is>
          <t>opex.bank_fees</t>
        </is>
      </c>
      <c r="G47" s="32" t="n">
        <v>950</v>
      </c>
      <c r="J47" s="32" t="n">
        <v>0</v>
      </c>
      <c r="K47" s="32" t="n">
        <v>950</v>
      </c>
      <c r="L47" s="12" t="inlineStr">
        <is>
          <t>Оплата лицензионного вознаграждения за использование базовой лицензии ПК Сервис Точка по тариф.пакету «Начало» за период с 01.02.26 по 28.02.26. Согласно Правилам ДО. НДС не предусмотрен.</t>
        </is>
      </c>
    </row>
    <row r="48">
      <c r="A48" s="30" t="inlineStr">
        <is>
          <t>2026-02-02</t>
        </is>
      </c>
      <c r="B48" s="30" t="inlineStr">
        <is>
          <t>7</t>
        </is>
      </c>
      <c r="C48" s="31" t="inlineStr">
        <is>
          <t>ОСФР ПО Г.МОСКВЕ И МОСКОВСКОЙ ОБЛАСТИ</t>
        </is>
      </c>
      <c r="D48" s="31" t="inlineStr">
        <is>
          <t>7703363868</t>
        </is>
      </c>
      <c r="E48" s="30" t="inlineStr">
        <is>
          <t>tax</t>
        </is>
      </c>
      <c r="F48" s="31" t="inlineStr">
        <is>
          <t>tax.social</t>
        </is>
      </c>
      <c r="G48" s="32" t="n">
        <v>482</v>
      </c>
      <c r="J48" s="32" t="n">
        <v>0</v>
      </c>
      <c r="K48" s="32" t="n">
        <v>482</v>
      </c>
      <c r="L48" s="12" t="inlineStr">
        <is>
          <t>Взносы на обязательное страхование от несчастных случаев за январь 2026. Регистрационный номер в СФР 1111969745</t>
        </is>
      </c>
    </row>
    <row r="49">
      <c r="A49" s="30" t="inlineStr">
        <is>
          <t>2026-02-04</t>
        </is>
      </c>
      <c r="B49" s="30" t="inlineStr">
        <is>
          <t>12</t>
        </is>
      </c>
      <c r="C49" s="31" t="inlineStr">
        <is>
          <t>Индивидуальный предприниматель Халатник Николай Владимирович</t>
        </is>
      </c>
      <c r="D49" s="31" t="inlineStr">
        <is>
          <t>772074981250</t>
        </is>
      </c>
      <c r="E49" s="30" t="inlineStr">
        <is>
          <t>opex</t>
        </is>
      </c>
      <c r="F49" s="31" t="inlineStr">
        <is>
          <t>opex.transport</t>
        </is>
      </c>
      <c r="G49" s="32" t="n">
        <v>130000</v>
      </c>
      <c r="J49" s="32" t="n">
        <v>0</v>
      </c>
      <c r="K49" s="32" t="n">
        <v>130000</v>
      </c>
      <c r="L49" s="12" t="inlineStr">
        <is>
          <t>Оказание транспортных услуг по перевозке грузов по договору 07102021ХА от 07.10.2021 без НДС</t>
        </is>
      </c>
    </row>
    <row r="50">
      <c r="A50" s="30" t="inlineStr">
        <is>
          <t>2026-02-04</t>
        </is>
      </c>
      <c r="B50" s="30" t="inlineStr">
        <is>
          <t>13</t>
        </is>
      </c>
      <c r="C50" s="31" t="inlineStr">
        <is>
          <t>ООО "ЭЛИОН"</t>
        </is>
      </c>
      <c r="D50" s="31" t="inlineStr">
        <is>
          <t>9728157660</t>
        </is>
      </c>
      <c r="E50" s="30" t="inlineStr">
        <is>
          <t>revenue</t>
        </is>
      </c>
      <c r="F50" s="31" t="inlineStr">
        <is>
          <t>revenue.direct_b2b</t>
        </is>
      </c>
      <c r="H50" s="32" t="n">
        <v>70000</v>
      </c>
      <c r="I50" s="33" t="n">
        <v>0.2</v>
      </c>
      <c r="J50" s="32" t="n">
        <v>11666.67</v>
      </c>
      <c r="K50" s="32" t="n">
        <v>58333.33</v>
      </c>
      <c r="L50" s="12" t="inlineStr">
        <is>
          <t>Оплата за товар. Сумма 70000-00 в т.ч. НДС 20% 11666.67</t>
        </is>
      </c>
    </row>
    <row r="51">
      <c r="A51" s="30" t="inlineStr">
        <is>
          <t>2026-02-04</t>
        </is>
      </c>
      <c r="B51" s="30" t="inlineStr">
        <is>
          <t>548371</t>
        </is>
      </c>
      <c r="C51" s="31" t="inlineStr">
        <is>
          <t>ОБЩЕСТВО С ОГРАНИЧЕННОЙ ОТВЕТСТВЕННОСТЬЮ "ИНТЕРНЕТ РЕШЕНИЯ"</t>
        </is>
      </c>
      <c r="D51" s="31" t="inlineStr">
        <is>
          <t>7704217370</t>
        </is>
      </c>
      <c r="E51" s="30" t="inlineStr">
        <is>
          <t>revenue</t>
        </is>
      </c>
      <c r="F51" s="31" t="inlineStr">
        <is>
          <t>revenue.marketplace_ozon</t>
        </is>
      </c>
      <c r="H51" s="32" t="n">
        <v>19234.36</v>
      </c>
      <c r="I51" s="33" t="n">
        <v>0.2</v>
      </c>
      <c r="J51" s="32" t="n">
        <v>3205.73</v>
      </c>
      <c r="K51" s="32" t="n">
        <v>16028.63</v>
      </c>
      <c r="L51" s="12" t="inlineStr">
        <is>
          <t>Оплата за тов. по дог. ИР-19008/20 от 20.05.2020 согл.сч.№№:35378037 от 12.01.26.</t>
        </is>
      </c>
    </row>
    <row r="52">
      <c r="A52" s="30" t="inlineStr">
        <is>
          <t>2026-02-05</t>
        </is>
      </c>
      <c r="B52" s="30" t="inlineStr">
        <is>
          <t>10</t>
        </is>
      </c>
      <c r="C52" s="31" t="inlineStr">
        <is>
          <t>ПАО "ЛК "ЕВРОПЛАН"</t>
        </is>
      </c>
      <c r="D52" s="31" t="inlineStr">
        <is>
          <t>9705101614</t>
        </is>
      </c>
      <c r="E52" s="30" t="inlineStr">
        <is>
          <t>opex</t>
        </is>
      </c>
      <c r="F52" s="31" t="inlineStr">
        <is>
          <t>opex.leasing_auto</t>
        </is>
      </c>
      <c r="G52" s="32" t="n">
        <v>76700.28999999999</v>
      </c>
      <c r="I52" s="33" t="n">
        <v>0.22</v>
      </c>
      <c r="J52" s="32" t="n">
        <v>13831.2</v>
      </c>
      <c r="K52" s="32" t="n">
        <v>62869.09</v>
      </c>
      <c r="L52" s="12" t="inlineStr">
        <is>
          <t>Оплата по счет у № AB049677207 от 01 февраля 2026 за топливо по договору № AB049677207 от 11 сентября 2025 г в т.ч. НДС 22% 13831.20</t>
        </is>
      </c>
    </row>
    <row r="53">
      <c r="A53" s="30" t="inlineStr">
        <is>
          <t>2026-02-05</t>
        </is>
      </c>
      <c r="B53" s="30" t="inlineStr">
        <is>
          <t>14</t>
        </is>
      </c>
      <c r="C53" s="31" t="inlineStr">
        <is>
          <t>ООО "ЭЛИОН"</t>
        </is>
      </c>
      <c r="D53" s="31" t="inlineStr">
        <is>
          <t>9728157660</t>
        </is>
      </c>
      <c r="E53" s="30" t="inlineStr">
        <is>
          <t>revenue</t>
        </is>
      </c>
      <c r="F53" s="31" t="inlineStr">
        <is>
          <t>revenue.direct_b2b</t>
        </is>
      </c>
      <c r="H53" s="32" t="n">
        <v>115000</v>
      </c>
      <c r="I53" s="33" t="n">
        <v>0.2</v>
      </c>
      <c r="J53" s="32" t="n">
        <v>19166.67</v>
      </c>
      <c r="K53" s="32" t="n">
        <v>95833.33</v>
      </c>
      <c r="L53" s="12" t="inlineStr">
        <is>
          <t>Оплата за товар. Сумма 70000-00 в т.ч. НДС 20% 19166.67</t>
        </is>
      </c>
    </row>
    <row r="54">
      <c r="A54" s="30" t="inlineStr">
        <is>
          <t>2026-02-05</t>
        </is>
      </c>
      <c r="B54" s="30" t="inlineStr">
        <is>
          <t>306</t>
        </is>
      </c>
      <c r="C54" s="31" t="inlineStr">
        <is>
          <t>КУЛИНИЧ ОЛЕГ АЛЕКСАНДРОВИЧ</t>
        </is>
      </c>
      <c r="D54" s="31" t="inlineStr">
        <is>
          <t>0</t>
        </is>
      </c>
      <c r="E54" s="30" t="inlineStr">
        <is>
          <t>opex</t>
        </is>
      </c>
      <c r="F54" s="31" t="inlineStr">
        <is>
          <t>opex.salary</t>
        </is>
      </c>
      <c r="G54" s="32" t="n">
        <v>17400</v>
      </c>
      <c r="J54" s="32" t="n">
        <v>0</v>
      </c>
      <c r="K54" s="32" t="n">
        <v>17400</v>
      </c>
      <c r="L54" s="12" t="inlineStr">
        <is>
          <t>Заработная плата за декабрь 2025 г.</t>
        </is>
      </c>
    </row>
    <row r="55">
      <c r="A55" s="30" t="inlineStr">
        <is>
          <t>2026-02-05</t>
        </is>
      </c>
      <c r="B55" s="30" t="inlineStr">
        <is>
          <t>4</t>
        </is>
      </c>
      <c r="C55" s="31" t="inlineStr">
        <is>
          <t>Кулинич Олег Александрович</t>
        </is>
      </c>
      <c r="D55" s="31" t="inlineStr">
        <is>
          <t>504508311590</t>
        </is>
      </c>
      <c r="E55" s="30" t="inlineStr">
        <is>
          <t>opex</t>
        </is>
      </c>
      <c r="F55" s="31" t="inlineStr">
        <is>
          <t>opex.salary</t>
        </is>
      </c>
      <c r="G55" s="32" t="n">
        <v>9279.67</v>
      </c>
      <c r="J55" s="32" t="n">
        <v>0</v>
      </c>
      <c r="K55" s="32" t="n">
        <v>9279.67</v>
      </c>
      <c r="L55" s="12" t="inlineStr">
        <is>
          <t>Для зачисления на счет Кулинича Олега Александровича Заработная плата за Январь 2026 г. Сумма 9279-67 Без налога (НДС)</t>
        </is>
      </c>
    </row>
    <row r="56">
      <c r="A56" s="30" t="inlineStr">
        <is>
          <t>2026-02-10</t>
        </is>
      </c>
      <c r="B56" s="30" t="inlineStr">
        <is>
          <t>1</t>
        </is>
      </c>
      <c r="C56" s="31" t="inlineStr">
        <is>
          <t>Кулинич Олег Александрович</t>
        </is>
      </c>
      <c r="D56" s="31" t="inlineStr">
        <is>
          <t>504508311590</t>
        </is>
      </c>
      <c r="E56" s="30" t="inlineStr">
        <is>
          <t>opex</t>
        </is>
      </c>
      <c r="F56" s="31" t="inlineStr">
        <is>
          <t>opex.salary</t>
        </is>
      </c>
      <c r="G56" s="32" t="n">
        <v>25520.33</v>
      </c>
      <c r="J56" s="32" t="n">
        <v>0</v>
      </c>
      <c r="K56" s="32" t="n">
        <v>25520.33</v>
      </c>
      <c r="L56" s="12" t="inlineStr">
        <is>
          <t>Для зачисления на счет Кулинича Олега Александровича Заработная плата за Январь 2026 г. Сумма 25520-33 Без налога (НДС)</t>
        </is>
      </c>
    </row>
    <row r="57">
      <c r="A57" s="30" t="inlineStr">
        <is>
          <t>2026-02-10</t>
        </is>
      </c>
      <c r="B57" s="30" t="inlineStr">
        <is>
          <t>17</t>
        </is>
      </c>
      <c r="C57" s="31" t="inlineStr">
        <is>
          <t>ООО "ЭЛИОН"</t>
        </is>
      </c>
      <c r="D57" s="31" t="inlineStr">
        <is>
          <t>9728157660</t>
        </is>
      </c>
      <c r="E57" s="30" t="inlineStr">
        <is>
          <t>revenue</t>
        </is>
      </c>
      <c r="F57" s="31" t="inlineStr">
        <is>
          <t>revenue.direct_b2b</t>
        </is>
      </c>
      <c r="H57" s="32" t="n">
        <v>180000</v>
      </c>
      <c r="I57" s="33" t="n">
        <v>0.2</v>
      </c>
      <c r="J57" s="32" t="n">
        <v>30000</v>
      </c>
      <c r="K57" s="32" t="n">
        <v>150000</v>
      </c>
      <c r="L57" s="12" t="inlineStr">
        <is>
          <t>Оплата за товар. Сумма 180000-00 в т.ч. НДС 20% 30000.00</t>
        </is>
      </c>
    </row>
    <row r="58">
      <c r="A58" s="30" t="inlineStr">
        <is>
          <t>2026-02-10</t>
        </is>
      </c>
      <c r="B58" s="30" t="inlineStr">
        <is>
          <t>5</t>
        </is>
      </c>
      <c r="C58" s="31" t="inlineStr">
        <is>
          <t>ИП ПЛУТАЛОВ АЛЕКСАНДР АЛЕКСАНДРОВИЧ</t>
        </is>
      </c>
      <c r="D58" s="31" t="inlineStr">
        <is>
          <t>262902028033</t>
        </is>
      </c>
      <c r="E58" s="30" t="inlineStr">
        <is>
          <t>opex</t>
        </is>
      </c>
      <c r="F58" s="31" t="inlineStr">
        <is>
          <t>opex.shipping</t>
        </is>
      </c>
      <c r="G58" s="32" t="n">
        <v>5493.68</v>
      </c>
      <c r="I58" s="33" t="n">
        <v>0.05</v>
      </c>
      <c r="J58" s="32" t="n">
        <v>261.6</v>
      </c>
      <c r="K58" s="32" t="n">
        <v>5232.08</v>
      </c>
      <c r="L58" s="12" t="inlineStr">
        <is>
          <t>Оплата по счету № ИПЕ-0443443 от 08 февраля 2026 г., за услуги доставки по договору №ИМ-РФ-ИПЕ-681 от 17 июня 2021 г г. в т.ч. НДС 5% 261.60</t>
        </is>
      </c>
    </row>
    <row r="59">
      <c r="A59" s="30" t="inlineStr">
        <is>
          <t>2026-02-10</t>
        </is>
      </c>
      <c r="B59" s="30" t="inlineStr">
        <is>
          <t>6</t>
        </is>
      </c>
      <c r="C59" s="31" t="inlineStr">
        <is>
          <t>Индивидуальный предприниматель Халатник Николай Владимирович</t>
        </is>
      </c>
      <c r="D59" s="31" t="inlineStr">
        <is>
          <t>772074981250</t>
        </is>
      </c>
      <c r="E59" s="30" t="inlineStr">
        <is>
          <t>opex</t>
        </is>
      </c>
      <c r="F59" s="31" t="inlineStr">
        <is>
          <t>opex.transport</t>
        </is>
      </c>
      <c r="G59" s="32" t="n">
        <v>115000</v>
      </c>
      <c r="J59" s="32" t="n">
        <v>0</v>
      </c>
      <c r="K59" s="32" t="n">
        <v>115000</v>
      </c>
      <c r="L59" s="12" t="inlineStr">
        <is>
          <t>Оказание транспортных услуг по перевозке грузов по договору 07102021ХА от 07.10.2021 без НДС</t>
        </is>
      </c>
    </row>
    <row r="60">
      <c r="A60" s="30" t="inlineStr">
        <is>
          <t>2026-02-10</t>
        </is>
      </c>
      <c r="B60" s="30" t="inlineStr">
        <is>
          <t>9</t>
        </is>
      </c>
      <c r="C60" s="31" t="inlineStr">
        <is>
          <t>Казначейство России (ФНС России)</t>
        </is>
      </c>
      <c r="D60" s="31" t="inlineStr">
        <is>
          <t>7727406020</t>
        </is>
      </c>
      <c r="E60" s="30" t="inlineStr">
        <is>
          <t>tax</t>
        </is>
      </c>
      <c r="F60" s="31" t="inlineStr">
        <is>
          <t>tax.fns</t>
        </is>
      </c>
      <c r="G60" s="32" t="n">
        <v>26000</v>
      </c>
      <c r="J60" s="32" t="n">
        <v>0</v>
      </c>
      <c r="K60" s="32" t="n">
        <v>26000</v>
      </c>
      <c r="L60" s="12" t="inlineStr">
        <is>
          <t>Единый налоговый платеж</t>
        </is>
      </c>
    </row>
    <row r="61">
      <c r="A61" s="30" t="inlineStr">
        <is>
          <t>2026-02-12</t>
        </is>
      </c>
      <c r="B61" s="30" t="inlineStr">
        <is>
          <t>18</t>
        </is>
      </c>
      <c r="C61" s="31" t="inlineStr">
        <is>
          <t>ООО "ЭЛИОН"</t>
        </is>
      </c>
      <c r="D61" s="31" t="inlineStr">
        <is>
          <t>9728157660</t>
        </is>
      </c>
      <c r="E61" s="30" t="inlineStr">
        <is>
          <t>revenue</t>
        </is>
      </c>
      <c r="F61" s="31" t="inlineStr">
        <is>
          <t>revenue.direct_b2b</t>
        </is>
      </c>
      <c r="H61" s="32" t="n">
        <v>20000</v>
      </c>
      <c r="I61" s="33" t="n">
        <v>0.2</v>
      </c>
      <c r="J61" s="32" t="n">
        <v>3333.33</v>
      </c>
      <c r="K61" s="32" t="n">
        <v>16666.67</v>
      </c>
      <c r="L61" s="12" t="inlineStr">
        <is>
          <t>Оплата за товар. Сумма 180000-00 в т.ч. НДС 20% 3333.33</t>
        </is>
      </c>
    </row>
    <row r="62">
      <c r="A62" s="30" t="inlineStr">
        <is>
          <t>2026-02-12</t>
        </is>
      </c>
      <c r="B62" s="30" t="inlineStr">
        <is>
          <t>8</t>
        </is>
      </c>
      <c r="C62" s="31" t="inlineStr">
        <is>
          <t>ИП ЗАРЕЦКИЙ АЛЕКСЕЙ АЛЕКСАНДРОВИЧ</t>
        </is>
      </c>
      <c r="D62" s="31" t="inlineStr">
        <is>
          <t>771997056186</t>
        </is>
      </c>
      <c r="E62" s="30" t="inlineStr">
        <is>
          <t>opex</t>
        </is>
      </c>
      <c r="F62" s="31" t="inlineStr">
        <is>
          <t>opex.rent</t>
        </is>
      </c>
      <c r="G62" s="32" t="n">
        <v>4400</v>
      </c>
      <c r="I62" s="33" t="n">
        <v>0.05</v>
      </c>
      <c r="J62" s="32" t="n">
        <v>209.52</v>
      </c>
      <c r="K62" s="32" t="n">
        <v>4190.48</v>
      </c>
      <c r="L62" s="12" t="inlineStr">
        <is>
          <t>Услуги по техническому обслуживанию оборудования для доступа к сети Интернет за февраль 2026 г. договор 79982/О от 16.07.2025 в т.ч. НДС 5% 209.52</t>
        </is>
      </c>
    </row>
    <row r="63">
      <c r="A63" s="30" t="inlineStr">
        <is>
          <t>2026-02-12</t>
        </is>
      </c>
      <c r="B63" s="30" t="inlineStr">
        <is>
          <t>9</t>
        </is>
      </c>
      <c r="C63" s="31" t="inlineStr">
        <is>
          <t>ООО "ОВИКОМ"</t>
        </is>
      </c>
      <c r="D63" s="31" t="inlineStr">
        <is>
          <t>9721257369</t>
        </is>
      </c>
      <c r="E63" s="30" t="inlineStr">
        <is>
          <t>opex</t>
        </is>
      </c>
      <c r="F63" s="31" t="inlineStr">
        <is>
          <t>opex.vehicle_maint</t>
        </is>
      </c>
      <c r="G63" s="32" t="n">
        <v>25760</v>
      </c>
      <c r="I63" s="33" t="n">
        <v>0.22</v>
      </c>
      <c r="J63" s="32" t="n">
        <v>1288</v>
      </c>
      <c r="K63" s="32" t="n">
        <v>24472</v>
      </c>
      <c r="L63" s="12" t="inlineStr">
        <is>
          <t>Оплата по счету ФМ00000124 от 11.02.2026 за автозапчасти в т.ч. НДС 22% 1 288,00</t>
        </is>
      </c>
    </row>
    <row r="64">
      <c r="A64" s="30" t="inlineStr">
        <is>
          <t>2026-02-13</t>
        </is>
      </c>
      <c r="B64" s="30" t="inlineStr">
        <is>
          <t>10</t>
        </is>
      </c>
      <c r="C64" s="31" t="inlineStr">
        <is>
          <t>ИП ФИНК АНАСТАСИЯ ВАЛЕНТИНОВНА</t>
        </is>
      </c>
      <c r="D64" s="31" t="inlineStr">
        <is>
          <t>230213791552</t>
        </is>
      </c>
      <c r="E64" s="30" t="inlineStr">
        <is>
          <t>cogs</t>
        </is>
      </c>
      <c r="F64" s="31" t="inlineStr">
        <is>
          <t>cogs.manufacturing</t>
        </is>
      </c>
      <c r="G64" s="32" t="n">
        <v>50000</v>
      </c>
      <c r="J64" s="32" t="n">
        <v>0</v>
      </c>
      <c r="K64" s="32" t="n">
        <v>50000</v>
      </c>
      <c r="L64" s="12" t="inlineStr">
        <is>
          <t>Оплата по договору б/н от 24.10.2023 г. за монтаж систем кондиционирования воздуха без НДС</t>
        </is>
      </c>
    </row>
    <row r="65">
      <c r="A65" s="30" t="inlineStr">
        <is>
          <t>2026-02-13</t>
        </is>
      </c>
      <c r="B65" s="30" t="inlineStr">
        <is>
          <t>11</t>
        </is>
      </c>
      <c r="C65" s="31" t="inlineStr">
        <is>
          <t>Тарасова Дарья Владимировна</t>
        </is>
      </c>
      <c r="D65" s="31" t="inlineStr">
        <is>
          <t>771570635287</t>
        </is>
      </c>
      <c r="E65" s="30" t="inlineStr">
        <is>
          <t>opex</t>
        </is>
      </c>
      <c r="F65" s="31" t="inlineStr">
        <is>
          <t>opex.salary</t>
        </is>
      </c>
      <c r="G65" s="32" t="n">
        <v>16732.08</v>
      </c>
      <c r="J65" s="32" t="n">
        <v>0</v>
      </c>
      <c r="K65" s="32" t="n">
        <v>16732.08</v>
      </c>
      <c r="L65" s="12" t="inlineStr">
        <is>
          <t>Для зачисления на счет Тарасовой Дарьи Владимировны Заработная плата (отпускные) за Февраль 2026 г. Сумма 16732-08 Без налога (НДС)</t>
        </is>
      </c>
    </row>
    <row r="66">
      <c r="A66" s="30" t="inlineStr">
        <is>
          <t>2026-02-13</t>
        </is>
      </c>
      <c r="B66" s="30" t="inlineStr">
        <is>
          <t>19</t>
        </is>
      </c>
      <c r="C66" s="31" t="inlineStr">
        <is>
          <t>ООО "ЭЛИОН"</t>
        </is>
      </c>
      <c r="D66" s="31" t="inlineStr">
        <is>
          <t>9728157660</t>
        </is>
      </c>
      <c r="E66" s="30" t="inlineStr">
        <is>
          <t>revenue</t>
        </is>
      </c>
      <c r="F66" s="31" t="inlineStr">
        <is>
          <t>revenue.direct_b2b</t>
        </is>
      </c>
      <c r="H66" s="32" t="n">
        <v>75000</v>
      </c>
      <c r="I66" s="33" t="n">
        <v>0.2</v>
      </c>
      <c r="J66" s="32" t="n">
        <v>12500</v>
      </c>
      <c r="K66" s="32" t="n">
        <v>62500</v>
      </c>
      <c r="L66" s="12" t="inlineStr">
        <is>
          <t>Оплата за товар. Сумма 75000-00 в т.ч. НДС 20% 12500.00</t>
        </is>
      </c>
    </row>
    <row r="67">
      <c r="A67" s="30" t="inlineStr">
        <is>
          <t>2026-02-17</t>
        </is>
      </c>
      <c r="B67" s="30" t="inlineStr">
        <is>
          <t>12</t>
        </is>
      </c>
      <c r="C67" s="31" t="inlineStr">
        <is>
          <t>ПАО "ЛК "ЕВРОПЛАН"</t>
        </is>
      </c>
      <c r="D67" s="31" t="inlineStr">
        <is>
          <t>9705101614</t>
        </is>
      </c>
      <c r="E67" s="30" t="inlineStr">
        <is>
          <t>opex</t>
        </is>
      </c>
      <c r="F67" s="31" t="inlineStr">
        <is>
          <t>opex.leasing_auto</t>
        </is>
      </c>
      <c r="G67" s="32" t="n">
        <v>108092</v>
      </c>
      <c r="I67" s="33" t="n">
        <v>0.22</v>
      </c>
      <c r="J67" s="32" t="n">
        <v>19492</v>
      </c>
      <c r="K67" s="32" t="n">
        <v>88600</v>
      </c>
      <c r="L67" s="12" t="inlineStr">
        <is>
          <t>Лизинговый платёж по договору№ 2784693-ФЛ/ОПП2-21 от 20.08.2021 в т.ч. НДС 22% 19492.00</t>
        </is>
      </c>
    </row>
    <row r="68">
      <c r="A68" s="30" t="inlineStr">
        <is>
          <t>2026-02-17</t>
        </is>
      </c>
      <c r="B68" s="30" t="inlineStr">
        <is>
          <t>2538</t>
        </is>
      </c>
      <c r="C68" s="31" t="inlineStr">
        <is>
          <t>АО "КАУСТИК"</t>
        </is>
      </c>
      <c r="D68" s="31" t="inlineStr">
        <is>
          <t>3448003962</t>
        </is>
      </c>
      <c r="E68" s="30" t="inlineStr">
        <is>
          <t>revenue</t>
        </is>
      </c>
      <c r="F68" s="31" t="inlineStr">
        <is>
          <t>revenue.direct_b2b</t>
        </is>
      </c>
      <c r="H68" s="32" t="n">
        <v>133590</v>
      </c>
      <c r="I68" s="33" t="n">
        <v>0.2</v>
      </c>
      <c r="J68" s="32" t="n">
        <v>22265</v>
      </c>
      <c r="K68" s="32" t="n">
        <v>111325</v>
      </c>
      <c r="L68" s="12" t="inlineStr">
        <is>
          <t>Оплата за фильтры Дог. N Исх/1287-25/065G от 30.12.2025 НДС в т.ч. 24090.00 руб</t>
        </is>
      </c>
    </row>
    <row r="69">
      <c r="A69" s="30" t="inlineStr">
        <is>
          <t>2026-02-17</t>
        </is>
      </c>
      <c r="B69" s="30" t="inlineStr">
        <is>
          <t>320331</t>
        </is>
      </c>
      <c r="C69" s="31" t="inlineStr">
        <is>
          <t>ООО Интернет Решения</t>
        </is>
      </c>
      <c r="D69" s="31" t="inlineStr">
        <is>
          <t>7704217370</t>
        </is>
      </c>
      <c r="E69" s="30" t="inlineStr">
        <is>
          <t>revenue</t>
        </is>
      </c>
      <c r="F69" s="31" t="inlineStr">
        <is>
          <t>revenue.marketplace_ozon</t>
        </is>
      </c>
      <c r="H69" s="32" t="n">
        <v>3798.65</v>
      </c>
      <c r="I69" s="33" t="n">
        <v>0.2</v>
      </c>
      <c r="J69" s="32" t="n">
        <v>633.11</v>
      </c>
      <c r="K69" s="32" t="n">
        <v>3165.54</v>
      </c>
      <c r="L69" s="12" t="inlineStr">
        <is>
          <t>по договору ИР-19008/20 от 20.05.2020 за выкупленные товары согл.сч.№№:37047758 от 16.02.26.</t>
        </is>
      </c>
    </row>
    <row r="70">
      <c r="A70" s="30" t="inlineStr">
        <is>
          <t>2026-02-17</t>
        </is>
      </c>
      <c r="B70" s="30" t="inlineStr">
        <is>
          <t>9</t>
        </is>
      </c>
      <c r="C70" s="31" t="inlineStr">
        <is>
          <t>Тарасова Дарья Владимировна</t>
        </is>
      </c>
      <c r="D70" s="31" t="inlineStr">
        <is>
          <t>771570635287</t>
        </is>
      </c>
      <c r="E70" s="30" t="inlineStr">
        <is>
          <t>opex</t>
        </is>
      </c>
      <c r="F70" s="31" t="inlineStr">
        <is>
          <t>opex.salary</t>
        </is>
      </c>
      <c r="G70" s="32" t="n">
        <v>36860.42</v>
      </c>
      <c r="J70" s="32" t="n">
        <v>0</v>
      </c>
      <c r="K70" s="32" t="n">
        <v>36860.42</v>
      </c>
      <c r="L70" s="12" t="inlineStr">
        <is>
          <t>Для зачисления на счет Тарасовой Дарьи Владимировны Заработная плата за Февраль 2026 г. Сумма 36860-42 Без налога (НДС)</t>
        </is>
      </c>
    </row>
    <row r="71">
      <c r="A71" s="30" t="inlineStr">
        <is>
          <t>2026-02-19</t>
        </is>
      </c>
      <c r="B71" s="30" t="inlineStr">
        <is>
          <t>11</t>
        </is>
      </c>
      <c r="C71" s="31" t="inlineStr">
        <is>
          <t>ООО"ДЕЛОВЫЕ ЛИНИИ"</t>
        </is>
      </c>
      <c r="D71" s="31" t="inlineStr">
        <is>
          <t>7826156685</t>
        </is>
      </c>
      <c r="E71" s="30" t="inlineStr">
        <is>
          <t>opex</t>
        </is>
      </c>
      <c r="F71" s="31" t="inlineStr">
        <is>
          <t>opex.shipping</t>
        </is>
      </c>
      <c r="G71" s="32" t="n">
        <v>31787</v>
      </c>
      <c r="I71" s="33" t="n">
        <v>0.22</v>
      </c>
      <c r="J71" s="32" t="n">
        <v>5235.63</v>
      </c>
      <c r="K71" s="32" t="n">
        <v>26551.37</v>
      </c>
      <c r="L71" s="12" t="inlineStr">
        <is>
          <t>Услуга по организации доставки груза по счету №26-03561001104 от 19.02.2026 г. в т.ч. НДС 22% 5 235,63</t>
        </is>
      </c>
    </row>
    <row r="72">
      <c r="A72" s="30" t="inlineStr">
        <is>
          <t>2026-02-19</t>
        </is>
      </c>
      <c r="B72" s="30" t="inlineStr">
        <is>
          <t>12</t>
        </is>
      </c>
      <c r="C72" s="31" t="inlineStr">
        <is>
          <t>ООО"ДЕЛОВЫЕ ЛИНИИ"</t>
        </is>
      </c>
      <c r="D72" s="31" t="inlineStr">
        <is>
          <t>7826156685</t>
        </is>
      </c>
      <c r="E72" s="30" t="inlineStr">
        <is>
          <t>opex</t>
        </is>
      </c>
      <c r="F72" s="31" t="inlineStr">
        <is>
          <t>opex.shipping</t>
        </is>
      </c>
      <c r="G72" s="32" t="n">
        <v>20205</v>
      </c>
      <c r="I72" s="33" t="n">
        <v>0.22</v>
      </c>
      <c r="J72" s="32" t="n">
        <v>3262.85</v>
      </c>
      <c r="K72" s="32" t="n">
        <v>16942.15</v>
      </c>
      <c r="L72" s="12" t="inlineStr">
        <is>
          <t>Услуга по организации доставки груза по счету №26-02731002057 от 19.02.2026 в т.ч. НДС 22% 3 262,85</t>
        </is>
      </c>
    </row>
    <row r="73">
      <c r="A73" s="30" t="inlineStr">
        <is>
          <t>2026-02-19</t>
        </is>
      </c>
      <c r="B73" s="30" t="inlineStr">
        <is>
          <t>17</t>
        </is>
      </c>
      <c r="C73" s="31" t="inlineStr">
        <is>
          <t>ООО "ЭЛИОН"</t>
        </is>
      </c>
      <c r="D73" s="31" t="inlineStr">
        <is>
          <t>9728157660</t>
        </is>
      </c>
      <c r="E73" s="30" t="inlineStr">
        <is>
          <t>revenue</t>
        </is>
      </c>
      <c r="F73" s="31" t="inlineStr">
        <is>
          <t>revenue.direct_b2b</t>
        </is>
      </c>
      <c r="H73" s="32" t="n">
        <v>110000</v>
      </c>
      <c r="I73" s="33" t="n">
        <v>0.22</v>
      </c>
      <c r="J73" s="32" t="n">
        <v>19836.07</v>
      </c>
      <c r="K73" s="32" t="n">
        <v>90163.92999999999</v>
      </c>
      <c r="L73" s="12" t="inlineStr">
        <is>
          <t>Оплата за товар. Сумма 110000-00 в т.ч. НДС 22% 19836.07</t>
        </is>
      </c>
    </row>
    <row r="74">
      <c r="A74" s="30" t="inlineStr">
        <is>
          <t>2026-02-19</t>
        </is>
      </c>
      <c r="B74" s="30" t="inlineStr">
        <is>
          <t>7</t>
        </is>
      </c>
      <c r="C74" s="31" t="inlineStr">
        <is>
          <t>ООО "ЕВРОПЛАН СЕРВИС"</t>
        </is>
      </c>
      <c r="D74" s="31" t="inlineStr">
        <is>
          <t>7705770795</t>
        </is>
      </c>
      <c r="E74" s="30" t="inlineStr">
        <is>
          <t>opex</t>
        </is>
      </c>
      <c r="F74" s="31" t="inlineStr">
        <is>
          <t>opex.insurance_osago</t>
        </is>
      </c>
      <c r="G74" s="32" t="n">
        <v>49734.48</v>
      </c>
      <c r="J74" s="32" t="n">
        <v>0</v>
      </c>
      <c r="K74" s="32" t="n">
        <v>49734.48</v>
      </c>
      <c r="L74" s="12" t="inlineStr">
        <is>
          <t>Оплата полиса КАСКО АО "СОГАЗ" на ТС JTMCV02J104227355 по счету 1821-82MT7428EVP через уполномоченного агента ООО "ЕВРОПЛАН СЕРВИС". без НДС</t>
        </is>
      </c>
    </row>
    <row r="75">
      <c r="A75" s="30" t="inlineStr">
        <is>
          <t>2026-02-19</t>
        </is>
      </c>
      <c r="B75" s="30" t="inlineStr">
        <is>
          <t>8</t>
        </is>
      </c>
      <c r="C75" s="31" t="inlineStr">
        <is>
          <t>Кулинич Олег Александрович</t>
        </is>
      </c>
      <c r="D75" s="31" t="inlineStr">
        <is>
          <t>504508311590</t>
        </is>
      </c>
      <c r="E75" s="30" t="inlineStr">
        <is>
          <t>opex</t>
        </is>
      </c>
      <c r="F75" s="31" t="inlineStr">
        <is>
          <t>opex.salary</t>
        </is>
      </c>
      <c r="G75" s="32" t="n">
        <v>18315.63</v>
      </c>
      <c r="J75" s="32" t="n">
        <v>0</v>
      </c>
      <c r="K75" s="32" t="n">
        <v>18315.63</v>
      </c>
      <c r="L75" s="12" t="inlineStr">
        <is>
          <t>Для зачисления на счет Кулинича Олега Александровича Заработная плата за Февраль 2026 г. Сумма 18315-63 Без налога (НДС)</t>
        </is>
      </c>
    </row>
    <row r="76">
      <c r="A76" s="30" t="inlineStr">
        <is>
          <t>2026-02-24</t>
        </is>
      </c>
      <c r="B76" s="30" t="inlineStr">
        <is>
          <t>13</t>
        </is>
      </c>
      <c r="C76" s="31" t="inlineStr">
        <is>
          <t>ООО "АВТОЛИЗИНГ"</t>
        </is>
      </c>
      <c r="D76" s="31" t="inlineStr">
        <is>
          <t>7705357845</t>
        </is>
      </c>
      <c r="E76" s="30" t="inlineStr">
        <is>
          <t>opex</t>
        </is>
      </c>
      <c r="F76" s="31" t="inlineStr">
        <is>
          <t>opex.leasing_auto</t>
        </is>
      </c>
      <c r="G76" s="32" t="n">
        <v>100040</v>
      </c>
      <c r="I76" s="33" t="n">
        <v>0.22</v>
      </c>
      <c r="J76" s="32" t="n">
        <v>18040</v>
      </c>
      <c r="K76" s="32" t="n">
        <v>82000</v>
      </c>
      <c r="L76" s="12" t="inlineStr">
        <is>
          <t>Лизинговый платеж по договору № AA012365184 от 23.06.2023 г. в т.ч. НДС 22% 18040.00</t>
        </is>
      </c>
    </row>
    <row r="77">
      <c r="A77" s="30" t="inlineStr">
        <is>
          <t>2026-02-24</t>
        </is>
      </c>
      <c r="B77" s="30" t="inlineStr">
        <is>
          <t>13</t>
        </is>
      </c>
      <c r="C77" s="31" t="inlineStr">
        <is>
          <t>Халатник Николай Владимирович ИП</t>
        </is>
      </c>
      <c r="D77" s="31" t="inlineStr">
        <is>
          <t>772074981250</t>
        </is>
      </c>
      <c r="E77" s="30" t="inlineStr">
        <is>
          <t>opex</t>
        </is>
      </c>
      <c r="F77" s="31" t="inlineStr">
        <is>
          <t>opex.transport</t>
        </is>
      </c>
      <c r="G77" s="32" t="n">
        <v>50000</v>
      </c>
      <c r="J77" s="32" t="n">
        <v>0</v>
      </c>
      <c r="K77" s="32" t="n">
        <v>50000</v>
      </c>
      <c r="L77" s="12" t="inlineStr">
        <is>
          <t>Оказание транспортных услуг по перевозке грузов по договору 07102021ХА от 07.10.2021 без НДС</t>
        </is>
      </c>
    </row>
    <row r="78">
      <c r="A78" s="30" t="inlineStr">
        <is>
          <t>2026-02-24</t>
        </is>
      </c>
      <c r="B78" s="30" t="inlineStr">
        <is>
          <t>19</t>
        </is>
      </c>
      <c r="C78" s="31" t="inlineStr">
        <is>
          <t>ООО "ЭЛИОН"</t>
        </is>
      </c>
      <c r="D78" s="31" t="inlineStr">
        <is>
          <t>9728157660</t>
        </is>
      </c>
      <c r="E78" s="30" t="inlineStr">
        <is>
          <t>revenue</t>
        </is>
      </c>
      <c r="F78" s="31" t="inlineStr">
        <is>
          <t>revenue.direct_b2b</t>
        </is>
      </c>
      <c r="H78" s="32" t="n">
        <v>150000</v>
      </c>
      <c r="I78" s="33" t="n">
        <v>0.22</v>
      </c>
      <c r="J78" s="32" t="n">
        <v>27049.18</v>
      </c>
      <c r="K78" s="32" t="n">
        <v>122950.82</v>
      </c>
      <c r="L78" s="12" t="inlineStr">
        <is>
          <t>Оплата за товар. Сумма 150000-00 в т.ч. НДС 22% 27049.18</t>
        </is>
      </c>
    </row>
    <row r="79">
      <c r="A79" s="30" t="inlineStr">
        <is>
          <t>2026-02-24</t>
        </is>
      </c>
      <c r="B79" s="30" t="inlineStr">
        <is>
          <t>483637</t>
        </is>
      </c>
      <c r="C79" s="31" t="inlineStr">
        <is>
          <t>Общество с ограниченной ответственностью "Интернет Решения"</t>
        </is>
      </c>
      <c r="D79" s="31" t="inlineStr">
        <is>
          <t>7704217370</t>
        </is>
      </c>
      <c r="E79" s="30" t="inlineStr">
        <is>
          <t>revenue</t>
        </is>
      </c>
      <c r="F79" s="31" t="inlineStr">
        <is>
          <t>revenue.marketplace_ozon</t>
        </is>
      </c>
      <c r="H79" s="32" t="n">
        <v>18480</v>
      </c>
      <c r="I79" s="33" t="n">
        <v>0.2</v>
      </c>
      <c r="J79" s="32" t="n">
        <v>3080</v>
      </c>
      <c r="K79" s="32" t="n">
        <v>15400</v>
      </c>
      <c r="L79" s="12" t="inlineStr">
        <is>
          <t>по договору ИР-19008/20 от 20.05.2020 за выкупленные товары согл.сч.№№ 37310774 от 23.02.26.</t>
        </is>
      </c>
    </row>
    <row r="80">
      <c r="A80" s="30" t="inlineStr">
        <is>
          <t>2026-02-24</t>
        </is>
      </c>
      <c r="B80" s="30" t="inlineStr">
        <is>
          <t>6</t>
        </is>
      </c>
      <c r="C80" s="31" t="inlineStr">
        <is>
          <t>Казначейство России (ФНС России)</t>
        </is>
      </c>
      <c r="D80" s="31" t="inlineStr">
        <is>
          <t>7727406020</t>
        </is>
      </c>
      <c r="E80" s="30" t="inlineStr">
        <is>
          <t>tax</t>
        </is>
      </c>
      <c r="F80" s="31" t="inlineStr">
        <is>
          <t>tax.fns</t>
        </is>
      </c>
      <c r="G80" s="32" t="n">
        <v>11487</v>
      </c>
      <c r="J80" s="32" t="n">
        <v>0</v>
      </c>
      <c r="K80" s="32" t="n">
        <v>11487</v>
      </c>
      <c r="L80" s="12" t="inlineStr">
        <is>
          <t>Единый налоговый платеж</t>
        </is>
      </c>
    </row>
    <row r="81">
      <c r="A81" s="30" t="inlineStr">
        <is>
          <t>2026-02-27</t>
        </is>
      </c>
      <c r="B81" s="30" t="inlineStr">
        <is>
          <t>14</t>
        </is>
      </c>
      <c r="C81" s="31" t="inlineStr">
        <is>
          <t>Индивидуальный предприниматель Халатник Николай Владимирович</t>
        </is>
      </c>
      <c r="D81" s="31" t="inlineStr">
        <is>
          <t>772074981250</t>
        </is>
      </c>
      <c r="E81" s="30" t="inlineStr">
        <is>
          <t>opex</t>
        </is>
      </c>
      <c r="F81" s="31" t="inlineStr">
        <is>
          <t>opex.transport</t>
        </is>
      </c>
      <c r="G81" s="32" t="n">
        <v>15000</v>
      </c>
      <c r="J81" s="32" t="n">
        <v>0</v>
      </c>
      <c r="K81" s="32" t="n">
        <v>15000</v>
      </c>
      <c r="L81" s="12" t="inlineStr">
        <is>
          <t>Оказание транспортных услуг по перевозке грузов по договору 07102021ХА от 07.10.2021 без НДС</t>
        </is>
      </c>
    </row>
    <row r="82">
      <c r="A82" s="30" t="inlineStr">
        <is>
          <t>2026-02-27</t>
        </is>
      </c>
      <c r="B82" s="30" t="inlineStr">
        <is>
          <t>14</t>
        </is>
      </c>
      <c r="C82" s="31" t="inlineStr">
        <is>
          <t>Казначейство России (ФНС России)</t>
        </is>
      </c>
      <c r="D82" s="31" t="inlineStr">
        <is>
          <t>7727406020</t>
        </is>
      </c>
      <c r="E82" s="30" t="inlineStr">
        <is>
          <t>tax</t>
        </is>
      </c>
      <c r="F82" s="31" t="inlineStr">
        <is>
          <t>tax.fns</t>
        </is>
      </c>
      <c r="G82" s="32" t="n">
        <v>4666</v>
      </c>
      <c r="J82" s="32" t="n">
        <v>0</v>
      </c>
      <c r="K82" s="32" t="n">
        <v>4666</v>
      </c>
      <c r="L82" s="12" t="inlineStr">
        <is>
          <t>Единый налоговый платеж</t>
        </is>
      </c>
    </row>
    <row r="83">
      <c r="A83" s="30" t="inlineStr">
        <is>
          <t>2026-02-27</t>
        </is>
      </c>
      <c r="B83" s="30" t="inlineStr">
        <is>
          <t>15</t>
        </is>
      </c>
      <c r="C83" s="31" t="inlineStr">
        <is>
          <t>УФК по г. Москве (ОСФР по г. Москве и Московской области, л/с 04734Ф73010)</t>
        </is>
      </c>
      <c r="D83" s="31" t="inlineStr">
        <is>
          <t>7703363868</t>
        </is>
      </c>
      <c r="E83" s="30" t="inlineStr">
        <is>
          <t>tax</t>
        </is>
      </c>
      <c r="F83" s="31" t="inlineStr">
        <is>
          <t>tax.social</t>
        </is>
      </c>
      <c r="G83" s="32" t="n">
        <v>474.19</v>
      </c>
      <c r="J83" s="32" t="n">
        <v>0</v>
      </c>
      <c r="K83" s="32" t="n">
        <v>474.19</v>
      </c>
      <c r="L83" s="12" t="inlineStr">
        <is>
          <t>Взносы на обязательное страхование от несчастных случаев за февраль 2026. Регистрационный номер в СФР 1111969745</t>
        </is>
      </c>
    </row>
    <row r="84">
      <c r="A84" s="30" t="inlineStr">
        <is>
          <t>2026-02-27</t>
        </is>
      </c>
      <c r="B84" s="30" t="inlineStr">
        <is>
          <t>17</t>
        </is>
      </c>
      <c r="C84" s="31" t="inlineStr">
        <is>
          <t>ООО "ЭЛИОН"</t>
        </is>
      </c>
      <c r="D84" s="31" t="inlineStr">
        <is>
          <t>9728157660</t>
        </is>
      </c>
      <c r="E84" s="30" t="inlineStr">
        <is>
          <t>revenue</t>
        </is>
      </c>
      <c r="F84" s="31" t="inlineStr">
        <is>
          <t>revenue.direct_b2b</t>
        </is>
      </c>
      <c r="H84" s="32" t="n">
        <v>75000</v>
      </c>
      <c r="I84" s="33" t="n">
        <v>0.22</v>
      </c>
      <c r="J84" s="32" t="n">
        <v>13524.59</v>
      </c>
      <c r="K84" s="32" t="n">
        <v>61475.41</v>
      </c>
      <c r="L84" s="12" t="inlineStr">
        <is>
          <t>Оплата за товар. Сумма 75000-00 в т.ч. НДС 22% 13524.59</t>
        </is>
      </c>
    </row>
    <row r="85">
      <c r="A85" s="30" t="inlineStr">
        <is>
          <t>2026-02-27</t>
        </is>
      </c>
      <c r="B85" s="30" t="inlineStr">
        <is>
          <t>18</t>
        </is>
      </c>
      <c r="C85" s="31" t="inlineStr">
        <is>
          <t>ООО "ЭЛИОН"</t>
        </is>
      </c>
      <c r="D85" s="31" t="inlineStr">
        <is>
          <t>9728157660</t>
        </is>
      </c>
      <c r="E85" s="30" t="inlineStr">
        <is>
          <t>revenue</t>
        </is>
      </c>
      <c r="F85" s="31" t="inlineStr">
        <is>
          <t>revenue.direct_b2b</t>
        </is>
      </c>
      <c r="H85" s="32" t="n">
        <v>15000</v>
      </c>
      <c r="I85" s="33" t="n">
        <v>0.22</v>
      </c>
      <c r="J85" s="32" t="n">
        <v>2704.92</v>
      </c>
      <c r="K85" s="32" t="n">
        <v>12295.08</v>
      </c>
      <c r="L85" s="12" t="inlineStr">
        <is>
          <t>Оплата за товар. Сумма 15000-00 в т.ч. НДС 22% 2704.92</t>
        </is>
      </c>
    </row>
    <row r="86">
      <c r="A86" s="30" t="inlineStr">
        <is>
          <t>2026-02-27</t>
        </is>
      </c>
      <c r="B86" s="30" t="inlineStr">
        <is>
          <t>7</t>
        </is>
      </c>
      <c r="C86" s="31" t="inlineStr">
        <is>
          <t>ИП ПЛУТАЛОВ АЛЕКСАНДР АЛЕКСАНДРОВИЧ</t>
        </is>
      </c>
      <c r="D86" s="31" t="inlineStr">
        <is>
          <t>262902028033</t>
        </is>
      </c>
      <c r="E86" s="30" t="inlineStr">
        <is>
          <t>opex</t>
        </is>
      </c>
      <c r="F86" s="31" t="inlineStr">
        <is>
          <t>opex.shipping</t>
        </is>
      </c>
      <c r="G86" s="32" t="n">
        <v>2373</v>
      </c>
      <c r="I86" s="33" t="n">
        <v>0.05</v>
      </c>
      <c r="J86" s="32" t="n">
        <v>113</v>
      </c>
      <c r="K86" s="32" t="n">
        <v>2260</v>
      </c>
      <c r="L86" s="12" t="inlineStr">
        <is>
          <t>плата по счету № ИПЕ-0444144 от 22 февраля 2026 г., за услуги доставки по договору № ИМ-РФ-ИПЕ-681 от 17 июня 2021 г г. в т.ч. НДС 5% 113.00</t>
        </is>
      </c>
    </row>
    <row r="87">
      <c r="A87" s="30" t="inlineStr">
        <is>
          <t>2026-02-27</t>
        </is>
      </c>
      <c r="B87" s="30" t="inlineStr">
        <is>
          <t>8</t>
        </is>
      </c>
      <c r="C87" s="31" t="inlineStr">
        <is>
          <t>ИП МУХАНОВ АРТЕМИЙ МИХАЙЛОВИЧ</t>
        </is>
      </c>
      <c r="D87" s="31" t="inlineStr">
        <is>
          <t>770974539080</t>
        </is>
      </c>
      <c r="E87" s="30" t="inlineStr">
        <is>
          <t>opex</t>
        </is>
      </c>
      <c r="F87" s="31" t="inlineStr">
        <is>
          <t>opex.rent</t>
        </is>
      </c>
      <c r="G87" s="32" t="n">
        <v>39900</v>
      </c>
      <c r="I87" s="33" t="n">
        <v>0.07000000000000001</v>
      </c>
      <c r="J87" s="32" t="n">
        <v>2610.28</v>
      </c>
      <c r="K87" s="32" t="n">
        <v>37289.72</v>
      </c>
      <c r="L87" s="12" t="inlineStr">
        <is>
          <t>Оплата по счету 3120 от 18.02.2026 арендная плата по договору аренды CAXU 924 430 0 от 25.08.20205 г. за март 2026 г. в т.ч. НДС 7% 2610.28</t>
        </is>
      </c>
    </row>
    <row r="88">
      <c r="A88" s="30" t="inlineStr">
        <is>
          <t>2026-02-27</t>
        </is>
      </c>
      <c r="B88" s="30" t="inlineStr">
        <is>
          <t>9</t>
        </is>
      </c>
      <c r="C88" s="31" t="inlineStr">
        <is>
          <t>ИП ЗАМАРАЕВ АРТЕМ ВИКТОРОВИЧ</t>
        </is>
      </c>
      <c r="D88" s="31" t="inlineStr">
        <is>
          <t>502480058703</t>
        </is>
      </c>
      <c r="E88" s="30" t="inlineStr">
        <is>
          <t>opex</t>
        </is>
      </c>
      <c r="F88" s="31" t="inlineStr">
        <is>
          <t>opex.rent</t>
        </is>
      </c>
      <c r="G88" s="32" t="n">
        <v>34900</v>
      </c>
      <c r="I88" s="33" t="n">
        <v>0.05</v>
      </c>
      <c r="J88" s="32" t="n">
        <v>1661.9</v>
      </c>
      <c r="K88" s="32" t="n">
        <v>33238.1</v>
      </c>
      <c r="L88" s="12" t="inlineStr">
        <is>
          <t>Оплата по счету № 2809 от 26.02.26 аренда контейнера по договору № АК-7219 от 01.02.2026 за март 2026 в т.ч. НДС 5% 1661.90</t>
        </is>
      </c>
    </row>
    <row r="89">
      <c r="A89" s="30" t="inlineStr">
        <is>
          <t>2026-03-04</t>
        </is>
      </c>
      <c r="B89" s="30" t="inlineStr">
        <is>
          <t>12</t>
        </is>
      </c>
      <c r="C89" s="31" t="inlineStr">
        <is>
          <t>Кулинич Олег Александрович</t>
        </is>
      </c>
      <c r="D89" s="31" t="inlineStr">
        <is>
          <t>504508311590</t>
        </is>
      </c>
      <c r="E89" s="30" t="inlineStr">
        <is>
          <t>opex</t>
        </is>
      </c>
      <c r="F89" s="31" t="inlineStr">
        <is>
          <t>opex.salary</t>
        </is>
      </c>
      <c r="G89" s="32" t="n">
        <v>16484.37</v>
      </c>
      <c r="J89" s="32" t="n">
        <v>0</v>
      </c>
      <c r="K89" s="32" t="n">
        <v>16484.37</v>
      </c>
      <c r="L89" s="12" t="inlineStr">
        <is>
          <t>Для зачисления на счет Кулинича Олега Александровича Заработная плата за Февраль 2026 г. Сумма 16484-37 Без налога (НДС)</t>
        </is>
      </c>
    </row>
    <row r="90">
      <c r="A90" s="30" t="inlineStr">
        <is>
          <t>2026-03-04</t>
        </is>
      </c>
      <c r="B90" s="30" t="inlineStr">
        <is>
          <t>13</t>
        </is>
      </c>
      <c r="C90" s="31" t="inlineStr">
        <is>
          <t>Тарасова Дарья Владимировна</t>
        </is>
      </c>
      <c r="D90" s="31" t="inlineStr">
        <is>
          <t>771570635287</t>
        </is>
      </c>
      <c r="E90" s="30" t="inlineStr">
        <is>
          <t>opex</t>
        </is>
      </c>
      <c r="F90" s="31" t="inlineStr">
        <is>
          <t>opex.salary</t>
        </is>
      </c>
      <c r="G90" s="32" t="n">
        <v>14744.37</v>
      </c>
      <c r="J90" s="32" t="n">
        <v>0</v>
      </c>
      <c r="K90" s="32" t="n">
        <v>14744.37</v>
      </c>
      <c r="L90" s="12" t="inlineStr">
        <is>
          <t>Для зачисления на счет Тарасовой Дарьи Владимировны Заработная плата за Февраль 2026 г. Сумма 14744-37 Без налога (НДС)</t>
        </is>
      </c>
    </row>
    <row r="91">
      <c r="A91" s="30" t="inlineStr">
        <is>
          <t>2026-03-04</t>
        </is>
      </c>
      <c r="B91" s="30" t="inlineStr">
        <is>
          <t>15</t>
        </is>
      </c>
      <c r="C91" s="31" t="inlineStr">
        <is>
          <t>ПАО "ЛК "ЕВРОПЛАН"</t>
        </is>
      </c>
      <c r="D91" s="31" t="inlineStr">
        <is>
          <t>9705101614</t>
        </is>
      </c>
      <c r="E91" s="30" t="inlineStr">
        <is>
          <t>opex</t>
        </is>
      </c>
      <c r="F91" s="31" t="inlineStr">
        <is>
          <t>opex.leasing_auto</t>
        </is>
      </c>
      <c r="G91" s="32" t="n">
        <v>43008.8</v>
      </c>
      <c r="I91" s="33" t="n">
        <v>0.22</v>
      </c>
      <c r="J91" s="32" t="n">
        <v>7755.69</v>
      </c>
      <c r="K91" s="32" t="n">
        <v>35253.11</v>
      </c>
      <c r="L91" s="12" t="inlineStr">
        <is>
          <t>Оплата по счет у № AB049677207 от 01 марта 2026 за топливо по договору № AB049677207 от 11 сентября 2025 г в т.ч. НДС 22% 7755.69</t>
        </is>
      </c>
    </row>
    <row r="92">
      <c r="A92" s="30" t="inlineStr">
        <is>
          <t>2026-03-04</t>
        </is>
      </c>
      <c r="B92" s="30" t="inlineStr">
        <is>
          <t>16</t>
        </is>
      </c>
      <c r="C92" s="31" t="inlineStr">
        <is>
          <t>АО "ПФ "СКБ КОНТУР"</t>
        </is>
      </c>
      <c r="D92" s="31" t="inlineStr">
        <is>
          <t>6663003127</t>
        </is>
      </c>
      <c r="E92" s="30" t="inlineStr">
        <is>
          <t>opex</t>
        </is>
      </c>
      <c r="F92" s="31" t="inlineStr">
        <is>
          <t>opex.software</t>
        </is>
      </c>
      <c r="G92" s="32" t="n">
        <v>2500</v>
      </c>
      <c r="J92" s="32" t="n">
        <v>0</v>
      </c>
      <c r="K92" s="32" t="n">
        <v>2500</v>
      </c>
      <c r="L92" s="12" t="inlineStr">
        <is>
          <t>26931046632 , 7725816938-772401001 ООО "ТЕХСОЛ", Право использования программы для ЭВМ "Контур.Экстерн", без НДС</t>
        </is>
      </c>
    </row>
    <row r="93">
      <c r="A93" s="30" t="inlineStr">
        <is>
          <t>2026-03-04</t>
        </is>
      </c>
      <c r="B93" s="30" t="inlineStr">
        <is>
          <t>17</t>
        </is>
      </c>
      <c r="C93" s="31" t="inlineStr">
        <is>
          <t>ООО "1С-РАРУС ИНТЕГРАЦИОННЫЕ ПРОЕКТЫ"</t>
        </is>
      </c>
      <c r="D93" s="31" t="inlineStr">
        <is>
          <t>7717154350</t>
        </is>
      </c>
      <c r="E93" s="30" t="inlineStr">
        <is>
          <t>opex</t>
        </is>
      </c>
      <c r="F93" s="31" t="inlineStr">
        <is>
          <t>opex.software</t>
        </is>
      </c>
      <c r="G93" s="32" t="n">
        <v>5200</v>
      </c>
      <c r="J93" s="32" t="n">
        <v>0</v>
      </c>
      <c r="K93" s="32" t="n">
        <v>5200</v>
      </c>
      <c r="L93" s="12" t="inlineStr">
        <is>
          <t>Оплата по счету № АЗЭ-0158613 от 3 марта 2026 г. за доступ в 1С: Предприятие 8 за период с 01.03.2026 г. до 31.03.2026 г..без НДС</t>
        </is>
      </c>
    </row>
    <row r="94">
      <c r="A94" s="30" t="inlineStr">
        <is>
          <t>2026-03-04</t>
        </is>
      </c>
      <c r="B94" s="30" t="inlineStr">
        <is>
          <t>20</t>
        </is>
      </c>
      <c r="C94" s="31" t="inlineStr">
        <is>
          <t>ООО "ЭЛИОН"</t>
        </is>
      </c>
      <c r="D94" s="31" t="inlineStr">
        <is>
          <t>9728157660</t>
        </is>
      </c>
      <c r="E94" s="30" t="inlineStr">
        <is>
          <t>revenue</t>
        </is>
      </c>
      <c r="F94" s="31" t="inlineStr">
        <is>
          <t>revenue.direct_b2b</t>
        </is>
      </c>
      <c r="H94" s="32" t="n">
        <v>100000</v>
      </c>
      <c r="I94" s="33" t="n">
        <v>0.22</v>
      </c>
      <c r="J94" s="32" t="n">
        <v>18032.79</v>
      </c>
      <c r="K94" s="32" t="n">
        <v>81967.21000000001</v>
      </c>
      <c r="L94" s="12" t="inlineStr">
        <is>
          <t>Оплата за товар. Сумма 100000-00 в т.ч. НДС 22% 18032.79</t>
        </is>
      </c>
    </row>
    <row r="95">
      <c r="A95" s="30" t="inlineStr">
        <is>
          <t>2026-03-04</t>
        </is>
      </c>
      <c r="B95" s="30" t="inlineStr">
        <is>
          <t>697062</t>
        </is>
      </c>
      <c r="C95" s="31" t="inlineStr">
        <is>
          <t>ООО "Банк Точка"</t>
        </is>
      </c>
      <c r="D95" s="31" t="inlineStr">
        <is>
          <t>9721194461</t>
        </is>
      </c>
      <c r="E95" s="30" t="inlineStr">
        <is>
          <t>opex</t>
        </is>
      </c>
      <c r="F95" s="31" t="inlineStr">
        <is>
          <t>opex.bank_fees</t>
        </is>
      </c>
      <c r="G95" s="32" t="n">
        <v>950</v>
      </c>
      <c r="J95" s="32" t="n">
        <v>0</v>
      </c>
      <c r="K95" s="32" t="n">
        <v>950</v>
      </c>
      <c r="L95" s="12" t="inlineStr">
        <is>
          <t>Оплата лицензионного вознаграждения за использование базовой лицензии ПК Сервис Точка по тариф.пакету «Начало» за период с 01.03.26 по 31.03.26. Согласно Правилам ДО. НДС не предусмотрен.</t>
        </is>
      </c>
    </row>
    <row r="96">
      <c r="A96" s="30" t="inlineStr">
        <is>
          <t>2026-03-04</t>
        </is>
      </c>
      <c r="B96" s="30" t="inlineStr">
        <is>
          <t>820170</t>
        </is>
      </c>
      <c r="C96" s="31" t="inlineStr">
        <is>
          <t>ОБЩЕСТВО С ОГРАНИЧЕННОЙ ОТВЕТСТВЕННОСТЬЮ "ИНТЕРНЕТ РЕШЕНИЯ"</t>
        </is>
      </c>
      <c r="D96" s="31" t="inlineStr">
        <is>
          <t>7704217370</t>
        </is>
      </c>
      <c r="E96" s="30" t="inlineStr">
        <is>
          <t>revenue</t>
        </is>
      </c>
      <c r="F96" s="31" t="inlineStr">
        <is>
          <t>revenue.marketplace_ozon</t>
        </is>
      </c>
      <c r="H96" s="32" t="n">
        <v>12166.39</v>
      </c>
      <c r="I96" s="33" t="n">
        <v>0.2</v>
      </c>
      <c r="J96" s="32" t="n">
        <v>2027.73</v>
      </c>
      <c r="K96" s="32" t="n">
        <v>10138.66</v>
      </c>
      <c r="L96" s="12" t="inlineStr">
        <is>
          <t>Оплата за тов. по дог. ИР-19008/20 от 20.05.2020 согл.сч.№№:36635266 от 09.02.26.</t>
        </is>
      </c>
    </row>
    <row r="97">
      <c r="A97" s="30" t="inlineStr">
        <is>
          <t>2026-03-05</t>
        </is>
      </c>
      <c r="B97" s="30" t="inlineStr">
        <is>
          <t>18</t>
        </is>
      </c>
      <c r="C97" s="31" t="inlineStr">
        <is>
          <t>Казначейство России (ФНС России)</t>
        </is>
      </c>
      <c r="D97" s="31" t="inlineStr">
        <is>
          <t>7727406020</t>
        </is>
      </c>
      <c r="E97" s="30" t="inlineStr">
        <is>
          <t>tax</t>
        </is>
      </c>
      <c r="F97" s="31" t="inlineStr">
        <is>
          <t>tax.fns</t>
        </is>
      </c>
      <c r="G97" s="32" t="n">
        <v>548</v>
      </c>
      <c r="J97" s="32" t="n">
        <v>0</v>
      </c>
      <c r="K97" s="32" t="n">
        <v>548</v>
      </c>
      <c r="L97" s="12" t="inlineStr">
        <is>
          <t>Единый налоговый платеж</t>
        </is>
      </c>
    </row>
    <row r="98">
      <c r="A98" s="30" t="inlineStr">
        <is>
          <t>2026-03-05</t>
        </is>
      </c>
      <c r="B98" s="30" t="inlineStr">
        <is>
          <t>21</t>
        </is>
      </c>
      <c r="C98" s="31" t="inlineStr">
        <is>
          <t>Казначейство России (ФНС России)</t>
        </is>
      </c>
      <c r="D98" s="31" t="inlineStr">
        <is>
          <t>7727406020</t>
        </is>
      </c>
      <c r="E98" s="30" t="inlineStr">
        <is>
          <t>tax</t>
        </is>
      </c>
      <c r="F98" s="31" t="inlineStr">
        <is>
          <t>tax.fns</t>
        </is>
      </c>
      <c r="G98" s="32" t="n">
        <v>17000</v>
      </c>
      <c r="J98" s="32" t="n">
        <v>0</v>
      </c>
      <c r="K98" s="32" t="n">
        <v>17000</v>
      </c>
      <c r="L98" s="12" t="inlineStr">
        <is>
          <t>Единый налоговый платеж</t>
        </is>
      </c>
    </row>
    <row r="99">
      <c r="A99" s="30" t="inlineStr">
        <is>
          <t>2026-03-05</t>
        </is>
      </c>
      <c r="B99" s="30" t="inlineStr">
        <is>
          <t>21</t>
        </is>
      </c>
      <c r="C99" s="31" t="inlineStr">
        <is>
          <t>ООО "ЭЛИОН"</t>
        </is>
      </c>
      <c r="D99" s="31" t="inlineStr">
        <is>
          <t>9728157660</t>
        </is>
      </c>
      <c r="E99" s="30" t="inlineStr">
        <is>
          <t>revenue</t>
        </is>
      </c>
      <c r="F99" s="31" t="inlineStr">
        <is>
          <t>revenue.direct_b2b</t>
        </is>
      </c>
      <c r="H99" s="32" t="n">
        <v>90000</v>
      </c>
      <c r="I99" s="33" t="n">
        <v>0.22</v>
      </c>
      <c r="J99" s="32" t="n">
        <v>16229.51</v>
      </c>
      <c r="K99" s="32" t="n">
        <v>73770.49000000001</v>
      </c>
      <c r="L99" s="12" t="inlineStr">
        <is>
          <t>Оплата за товар. Сумма 90000-00 в т.ч. НДС 22% 16229.51</t>
        </is>
      </c>
    </row>
    <row r="100">
      <c r="A100" s="30" t="inlineStr">
        <is>
          <t>2026-03-05</t>
        </is>
      </c>
      <c r="B100" s="30" t="inlineStr">
        <is>
          <t>21</t>
        </is>
      </c>
      <c r="C100" s="31" t="inlineStr">
        <is>
          <t>Халатник Николай Владимирович ИП</t>
        </is>
      </c>
      <c r="D100" s="31" t="inlineStr">
        <is>
          <t>772074981250</t>
        </is>
      </c>
      <c r="E100" s="30" t="inlineStr">
        <is>
          <t>opex</t>
        </is>
      </c>
      <c r="F100" s="31" t="inlineStr">
        <is>
          <t>opex.transport</t>
        </is>
      </c>
      <c r="G100" s="32" t="n">
        <v>20000</v>
      </c>
      <c r="J100" s="32" t="n">
        <v>0</v>
      </c>
      <c r="K100" s="32" t="n">
        <v>20000</v>
      </c>
      <c r="L100" s="12" t="inlineStr">
        <is>
          <t>Оказание транспортных услуг по перевозке грузов по договору 07102021ХА от 07.10.2021 без НДС</t>
        </is>
      </c>
    </row>
    <row r="101">
      <c r="A101" s="30" t="inlineStr">
        <is>
          <t>2026-03-05</t>
        </is>
      </c>
      <c r="B101" s="30" t="inlineStr">
        <is>
          <t>22</t>
        </is>
      </c>
      <c r="C101" s="31" t="inlineStr">
        <is>
          <t>Индивидуальный предприниматель Халатник Николай Владимирович</t>
        </is>
      </c>
      <c r="D101" s="31" t="inlineStr">
        <is>
          <t>772074981250</t>
        </is>
      </c>
      <c r="E101" s="30" t="inlineStr">
        <is>
          <t>opex</t>
        </is>
      </c>
      <c r="F101" s="31" t="inlineStr">
        <is>
          <t>opex.transport</t>
        </is>
      </c>
      <c r="G101" s="32" t="n">
        <v>15000</v>
      </c>
      <c r="J101" s="32" t="n">
        <v>0</v>
      </c>
      <c r="K101" s="32" t="n">
        <v>15000</v>
      </c>
      <c r="L101" s="12" t="inlineStr">
        <is>
          <t>Оказание транспортных услуг по перевозке грузов по договору 07102021ХА от 07.10.2021 без НДС</t>
        </is>
      </c>
    </row>
    <row r="102">
      <c r="A102" s="30" t="inlineStr">
        <is>
          <t>2026-03-05</t>
        </is>
      </c>
      <c r="B102" s="30" t="inlineStr">
        <is>
          <t>23</t>
        </is>
      </c>
      <c r="C102" s="31" t="inlineStr">
        <is>
          <t>Индивидуальный предприниматель Халатник Николай Владимирович</t>
        </is>
      </c>
      <c r="D102" s="31" t="inlineStr">
        <is>
          <t>772074981250</t>
        </is>
      </c>
      <c r="E102" s="30" t="inlineStr">
        <is>
          <t>opex</t>
        </is>
      </c>
      <c r="F102" s="31" t="inlineStr">
        <is>
          <t>opex.transport</t>
        </is>
      </c>
      <c r="G102" s="32" t="n">
        <v>67000</v>
      </c>
      <c r="J102" s="32" t="n">
        <v>0</v>
      </c>
      <c r="K102" s="32" t="n">
        <v>67000</v>
      </c>
      <c r="L102" s="12" t="inlineStr">
        <is>
          <t>Оказание транспортных услуг по перевозке грузов по договору 07102021ХА от 07.10.2021 без НДС</t>
        </is>
      </c>
    </row>
    <row r="103">
      <c r="A103" s="30" t="inlineStr">
        <is>
          <t>2026-03-06</t>
        </is>
      </c>
      <c r="B103" s="30" t="inlineStr">
        <is>
          <t>3770</t>
        </is>
      </c>
      <c r="C103" s="31" t="inlineStr">
        <is>
          <t>АО "КАУСТИК"</t>
        </is>
      </c>
      <c r="D103" s="31" t="inlineStr">
        <is>
          <t>3448003962</t>
        </is>
      </c>
      <c r="E103" s="30" t="inlineStr">
        <is>
          <t>revenue</t>
        </is>
      </c>
      <c r="F103" s="31" t="inlineStr">
        <is>
          <t>revenue.direct_b2b</t>
        </is>
      </c>
      <c r="H103" s="32" t="n">
        <v>371673</v>
      </c>
      <c r="I103" s="33" t="n">
        <v>0.2</v>
      </c>
      <c r="J103" s="32" t="n">
        <v>61945.5</v>
      </c>
      <c r="K103" s="32" t="n">
        <v>309727.5</v>
      </c>
      <c r="L103" s="12" t="inlineStr">
        <is>
          <t>Оплата за фильтр Спецификация N2 Дог. N Исх/1287-25/065G от 30.12.2025 НДС в т.ч. 67023.00 руб</t>
        </is>
      </c>
    </row>
    <row r="104">
      <c r="A104" s="30" t="inlineStr">
        <is>
          <t>2026-03-10</t>
        </is>
      </c>
      <c r="B104" s="30" t="inlineStr">
        <is>
          <t>10</t>
        </is>
      </c>
      <c r="C104" s="31" t="inlineStr">
        <is>
          <t>Казначейство России (ФНС России)</t>
        </is>
      </c>
      <c r="D104" s="31" t="inlineStr">
        <is>
          <t>7727406020</t>
        </is>
      </c>
      <c r="E104" s="30" t="inlineStr">
        <is>
          <t>tax</t>
        </is>
      </c>
      <c r="F104" s="31" t="inlineStr">
        <is>
          <t>tax.fns</t>
        </is>
      </c>
      <c r="G104" s="32" t="n">
        <v>46895</v>
      </c>
      <c r="J104" s="32" t="n">
        <v>0</v>
      </c>
      <c r="K104" s="32" t="n">
        <v>46895</v>
      </c>
      <c r="L104" s="12" t="inlineStr">
        <is>
          <t>Единый налоговый платеж</t>
        </is>
      </c>
    </row>
    <row r="105">
      <c r="A105" s="30" t="inlineStr">
        <is>
          <t>2026-03-10</t>
        </is>
      </c>
      <c r="B105" s="30" t="inlineStr">
        <is>
          <t>109478</t>
        </is>
      </c>
      <c r="C105" s="31" t="inlineStr">
        <is>
          <t>ОБЩЕСТВО С ОГРАНИЧЕННОЙ ОТВЕТСТВЕННОСТЬЮ "ИНТЕРНЕТ РЕШЕНИЯ"</t>
        </is>
      </c>
      <c r="D105" s="31" t="inlineStr">
        <is>
          <t>7704217370</t>
        </is>
      </c>
      <c r="E105" s="30" t="inlineStr">
        <is>
          <t>revenue</t>
        </is>
      </c>
      <c r="F105" s="31" t="inlineStr">
        <is>
          <t>revenue.marketplace_ozon</t>
        </is>
      </c>
      <c r="H105" s="32" t="n">
        <v>1118.38</v>
      </c>
      <c r="I105" s="33" t="n">
        <v>0.2</v>
      </c>
      <c r="J105" s="32" t="n">
        <v>186.4</v>
      </c>
      <c r="K105" s="32" t="n">
        <v>931.98</v>
      </c>
      <c r="L105" s="12" t="inlineStr">
        <is>
          <t>по договору ИР-19008/20 от 20.05.2020 за выкупленные товары согл.сч.№№:38133759 от 09.03.26.</t>
        </is>
      </c>
    </row>
    <row r="106">
      <c r="A106" s="30" t="inlineStr">
        <is>
          <t>2026-03-10</t>
        </is>
      </c>
      <c r="B106" s="30" t="inlineStr">
        <is>
          <t>19</t>
        </is>
      </c>
      <c r="C106" s="31" t="inlineStr">
        <is>
          <t>Казначейство России (ФНС России)</t>
        </is>
      </c>
      <c r="D106" s="31" t="inlineStr">
        <is>
          <t>7727406020</t>
        </is>
      </c>
      <c r="E106" s="30" t="inlineStr">
        <is>
          <t>tax</t>
        </is>
      </c>
      <c r="F106" s="31" t="inlineStr">
        <is>
          <t>tax.fns</t>
        </is>
      </c>
      <c r="G106" s="32" t="n">
        <v>6000</v>
      </c>
      <c r="J106" s="32" t="n">
        <v>0</v>
      </c>
      <c r="K106" s="32" t="n">
        <v>6000</v>
      </c>
      <c r="L106" s="12" t="inlineStr">
        <is>
          <t>Единый налоговый платеж</t>
        </is>
      </c>
    </row>
    <row r="107">
      <c r="A107" s="30" t="inlineStr">
        <is>
          <t>2026-03-10</t>
        </is>
      </c>
      <c r="B107" s="30" t="inlineStr">
        <is>
          <t>20</t>
        </is>
      </c>
      <c r="C107" s="31" t="inlineStr">
        <is>
          <t>Казначейство России (ФНС России)</t>
        </is>
      </c>
      <c r="D107" s="31" t="inlineStr">
        <is>
          <t>7727406020</t>
        </is>
      </c>
      <c r="E107" s="30" t="inlineStr">
        <is>
          <t>tax</t>
        </is>
      </c>
      <c r="F107" s="31" t="inlineStr">
        <is>
          <t>tax.fns</t>
        </is>
      </c>
      <c r="G107" s="32" t="n">
        <v>37000</v>
      </c>
      <c r="J107" s="32" t="n">
        <v>0</v>
      </c>
      <c r="K107" s="32" t="n">
        <v>37000</v>
      </c>
      <c r="L107" s="12" t="inlineStr">
        <is>
          <t>Единый налоговый платеж</t>
        </is>
      </c>
    </row>
    <row r="108">
      <c r="A108" s="30" t="inlineStr">
        <is>
          <t>2026-03-10</t>
        </is>
      </c>
      <c r="B108" s="30" t="inlineStr">
        <is>
          <t>7</t>
        </is>
      </c>
      <c r="C108" s="31" t="inlineStr">
        <is>
          <t>Казначейство России (ФНС России)</t>
        </is>
      </c>
      <c r="D108" s="31" t="inlineStr">
        <is>
          <t>7727406020</t>
        </is>
      </c>
      <c r="E108" s="30" t="inlineStr">
        <is>
          <t>tax</t>
        </is>
      </c>
      <c r="F108" s="31" t="inlineStr">
        <is>
          <t>tax.fns</t>
        </is>
      </c>
      <c r="G108" s="32" t="n">
        <v>26000</v>
      </c>
      <c r="J108" s="32" t="n">
        <v>0</v>
      </c>
      <c r="K108" s="32" t="n">
        <v>26000</v>
      </c>
      <c r="L108" s="12" t="inlineStr">
        <is>
          <t>Единый налоговый платеж</t>
        </is>
      </c>
    </row>
    <row r="109">
      <c r="A109" s="30" t="inlineStr">
        <is>
          <t>2026-03-10</t>
        </is>
      </c>
      <c r="B109" s="30" t="inlineStr">
        <is>
          <t>8</t>
        </is>
      </c>
      <c r="C109" s="31" t="inlineStr">
        <is>
          <t>Казначейство России (ФНС России)</t>
        </is>
      </c>
      <c r="D109" s="31" t="inlineStr">
        <is>
          <t>7727406020</t>
        </is>
      </c>
      <c r="E109" s="30" t="inlineStr">
        <is>
          <t>tax</t>
        </is>
      </c>
      <c r="F109" s="31" t="inlineStr">
        <is>
          <t>tax.fns</t>
        </is>
      </c>
      <c r="G109" s="32" t="n">
        <v>26000</v>
      </c>
      <c r="J109" s="32" t="n">
        <v>0</v>
      </c>
      <c r="K109" s="32" t="n">
        <v>26000</v>
      </c>
      <c r="L109" s="12" t="inlineStr">
        <is>
          <t>Единый налоговый платеж</t>
        </is>
      </c>
    </row>
    <row r="110">
      <c r="A110" s="30" t="inlineStr">
        <is>
          <t>2026-03-11</t>
        </is>
      </c>
      <c r="B110" s="30" t="inlineStr">
        <is>
          <t>320610</t>
        </is>
      </c>
      <c r="C110" s="31" t="inlineStr">
        <is>
          <t>ОБЩЕСТВО С ОГРАНИЧЕННОЙ ОТВЕТСТВЕННОСТЬЮ "ИНТЕРНЕТ РЕШЕНИЯ"</t>
        </is>
      </c>
      <c r="D110" s="31" t="inlineStr">
        <is>
          <t>7704217370</t>
        </is>
      </c>
      <c r="E110" s="30" t="inlineStr">
        <is>
          <t>revenue</t>
        </is>
      </c>
      <c r="F110" s="31" t="inlineStr">
        <is>
          <t>revenue.marketplace_ozon</t>
        </is>
      </c>
      <c r="H110" s="32" t="n">
        <v>25378.49</v>
      </c>
      <c r="I110" s="33" t="n">
        <v>0.2</v>
      </c>
      <c r="J110" s="32" t="n">
        <v>4229.75</v>
      </c>
      <c r="K110" s="32" t="n">
        <v>21148.74</v>
      </c>
      <c r="L110" s="12" t="inlineStr">
        <is>
          <t>Оплата за тов. по дог. ИР-19008/20 от 20.05.2020 согл.сч.№№:36861858 от 16.02.26.</t>
        </is>
      </c>
    </row>
    <row r="111">
      <c r="A111" s="30" t="inlineStr">
        <is>
          <t>2026-03-11</t>
        </is>
      </c>
      <c r="B111" s="30" t="inlineStr">
        <is>
          <t>36416</t>
        </is>
      </c>
      <c r="C111" s="31" t="inlineStr">
        <is>
          <t>АКЦИОНЕРНОЕ ОБЩЕСТВО "СТРАХОВАЯ КОМПАНИЯ "АСТРО-ВОЛГА"</t>
        </is>
      </c>
      <c r="D111" s="31" t="inlineStr">
        <is>
          <t>6315232133</t>
        </is>
      </c>
      <c r="E111" s="30" t="inlineStr">
        <is>
          <t>other_income</t>
        </is>
      </c>
      <c r="F111" s="31" t="inlineStr">
        <is>
          <t>other_income.insurance_reimb</t>
        </is>
      </c>
      <c r="H111" s="32" t="n">
        <v>41700</v>
      </c>
      <c r="J111" s="32" t="n">
        <v>0</v>
      </c>
      <c r="K111" s="32" t="n">
        <v>41700</v>
      </c>
      <c r="L111" s="12" t="inlineStr">
        <is>
          <t>Прямое возмещение убытка по договору № ТТТ7073282021 Hyundai, Tucson 2 022 В523НВ797 XWEJC81DDN0002126 ТЕХСОЛ ООО Сумма 41700-00 Без налога (НДС)</t>
        </is>
      </c>
    </row>
    <row r="112">
      <c r="A112" s="30" t="inlineStr">
        <is>
          <t>2026-03-16</t>
        </is>
      </c>
      <c r="B112" s="30" t="inlineStr">
        <is>
          <t>26</t>
        </is>
      </c>
      <c r="C112" s="31" t="inlineStr">
        <is>
          <t>ПАО "ЛК "ЕВРОПЛАН"</t>
        </is>
      </c>
      <c r="D112" s="31" t="inlineStr">
        <is>
          <t>9705101614</t>
        </is>
      </c>
      <c r="E112" s="30" t="inlineStr">
        <is>
          <t>opex</t>
        </is>
      </c>
      <c r="F112" s="31" t="inlineStr">
        <is>
          <t>opex.leasing_auto</t>
        </is>
      </c>
      <c r="G112" s="32" t="n">
        <v>108092</v>
      </c>
      <c r="I112" s="33" t="n">
        <v>0.22</v>
      </c>
      <c r="J112" s="32" t="n">
        <v>19492</v>
      </c>
      <c r="K112" s="32" t="n">
        <v>88600</v>
      </c>
      <c r="L112" s="12" t="inlineStr">
        <is>
          <t>Лизинговый платёж по договору№ 2784693-ФЛ/ОПП2-21 от 20.08.2021 в т.ч. НДС 22% 19492.00</t>
        </is>
      </c>
    </row>
    <row r="113">
      <c r="A113" s="30" t="inlineStr">
        <is>
          <t>2026-03-16</t>
        </is>
      </c>
      <c r="B113" s="30" t="inlineStr">
        <is>
          <t>26</t>
        </is>
      </c>
      <c r="C113" s="31" t="inlineStr">
        <is>
          <t>Тарасова Дарья Владимировна</t>
        </is>
      </c>
      <c r="D113" s="31" t="inlineStr">
        <is>
          <t>771570635287</t>
        </is>
      </c>
      <c r="E113" s="30" t="inlineStr">
        <is>
          <t>opex</t>
        </is>
      </c>
      <c r="F113" s="31" t="inlineStr">
        <is>
          <t>opex.salary</t>
        </is>
      </c>
      <c r="G113" s="32" t="n">
        <v>30015</v>
      </c>
      <c r="J113" s="32" t="n">
        <v>0</v>
      </c>
      <c r="K113" s="32" t="n">
        <v>30015</v>
      </c>
      <c r="L113" s="12" t="inlineStr">
        <is>
          <t>Для зачисления на счет Тарасовой Дарьи Владимировны Заработная плата за Март 2026 г. Сумма 30015-00 Без налога (НДС)</t>
        </is>
      </c>
    </row>
    <row r="114">
      <c r="A114" s="30" t="inlineStr">
        <is>
          <t>2026-03-18</t>
        </is>
      </c>
      <c r="B114" s="30" t="inlineStr">
        <is>
          <t>625293</t>
        </is>
      </c>
      <c r="C114" s="31" t="inlineStr">
        <is>
          <t>ОБЩЕСТВО С ОГРАНИЧЕННОЙ ОТВЕТСТВЕННОСТЬЮ "ИНТЕРНЕТ РЕШЕНИЯ"</t>
        </is>
      </c>
      <c r="D114" s="31" t="inlineStr">
        <is>
          <t>7704217370</t>
        </is>
      </c>
      <c r="E114" s="30" t="inlineStr">
        <is>
          <t>revenue</t>
        </is>
      </c>
      <c r="F114" s="31" t="inlineStr">
        <is>
          <t>revenue.marketplace_ozon</t>
        </is>
      </c>
      <c r="H114" s="32" t="n">
        <v>18870.13</v>
      </c>
      <c r="I114" s="33" t="n">
        <v>0.2</v>
      </c>
      <c r="J114" s="32" t="n">
        <v>3145.02</v>
      </c>
      <c r="K114" s="32" t="n">
        <v>15725.11</v>
      </c>
      <c r="L114" s="12" t="inlineStr">
        <is>
          <t>Оплата за тов. по дог. ИР-19008/20 от 20.05.2020 согл.сч.№№:37078509 от 23.02.26.</t>
        </is>
      </c>
    </row>
    <row r="115">
      <c r="A115" s="30" t="inlineStr">
        <is>
          <t>2026-03-20</t>
        </is>
      </c>
      <c r="B115" s="30" t="inlineStr">
        <is>
          <t>28</t>
        </is>
      </c>
      <c r="C115" s="31" t="inlineStr">
        <is>
          <t>ИП ПЛУТАЛОВ АЛЕКСАНДР АЛЕКСАНДРОВИЧ</t>
        </is>
      </c>
      <c r="D115" s="31" t="inlineStr">
        <is>
          <t>262902028033</t>
        </is>
      </c>
      <c r="E115" s="30" t="inlineStr">
        <is>
          <t>opex</t>
        </is>
      </c>
      <c r="F115" s="31" t="inlineStr">
        <is>
          <t>opex.shipping</t>
        </is>
      </c>
      <c r="G115" s="32" t="n">
        <v>772.75</v>
      </c>
      <c r="I115" s="33" t="n">
        <v>0.05</v>
      </c>
      <c r="J115" s="32" t="n">
        <v>36.8</v>
      </c>
      <c r="K115" s="32" t="n">
        <v>735.95</v>
      </c>
      <c r="L115" s="12" t="inlineStr">
        <is>
          <t>Оплата задолженности по акту сверки № ИПЕВЗ-02066 от 17 марта 2026 г., за услуги доставки. НДС 5% 36.80</t>
        </is>
      </c>
    </row>
    <row r="116">
      <c r="A116" s="30" t="inlineStr">
        <is>
          <t>2026-03-24</t>
        </is>
      </c>
      <c r="B116" s="30" t="inlineStr">
        <is>
          <t>29</t>
        </is>
      </c>
      <c r="C116" s="31" t="inlineStr">
        <is>
          <t>ИП ПЛУТАЛОВ АЛЕКСАНДР АЛЕКСАНДРОВИЧ</t>
        </is>
      </c>
      <c r="D116" s="31" t="inlineStr">
        <is>
          <t>262902028033</t>
        </is>
      </c>
      <c r="E116" s="30" t="inlineStr">
        <is>
          <t>opex</t>
        </is>
      </c>
      <c r="F116" s="31" t="inlineStr">
        <is>
          <t>opex.shipping</t>
        </is>
      </c>
      <c r="G116" s="32" t="n">
        <v>1880.64</v>
      </c>
      <c r="I116" s="33" t="n">
        <v>0.05</v>
      </c>
      <c r="J116" s="32" t="n">
        <v>89.55</v>
      </c>
      <c r="K116" s="32" t="n">
        <v>1791.09</v>
      </c>
      <c r="L116" s="12" t="inlineStr">
        <is>
          <t>Оплата по счету ИПЕ-0445902 от 22 марта 2026 г., за услуги доставки по договору No ИМ-РФ-ИПЕ-681 от 17 июня 2021 г., в т.ч. НДС 89,55.</t>
        </is>
      </c>
    </row>
    <row r="117">
      <c r="A117" s="30" t="inlineStr">
        <is>
          <t>2026-03-24</t>
        </is>
      </c>
      <c r="B117" s="30" t="inlineStr">
        <is>
          <t>543995</t>
        </is>
      </c>
      <c r="C117" s="31" t="inlineStr">
        <is>
          <t>ООО Интернет Решения</t>
        </is>
      </c>
      <c r="D117" s="31" t="inlineStr">
        <is>
          <t>7704217370</t>
        </is>
      </c>
      <c r="E117" s="30" t="inlineStr">
        <is>
          <t>revenue</t>
        </is>
      </c>
      <c r="F117" s="31" t="inlineStr">
        <is>
          <t>revenue.marketplace_ozon</t>
        </is>
      </c>
      <c r="H117" s="32" t="n">
        <v>1769.28</v>
      </c>
      <c r="I117" s="33" t="n">
        <v>0.2</v>
      </c>
      <c r="J117" s="32" t="n">
        <v>294.88</v>
      </c>
      <c r="K117" s="32" t="n">
        <v>1474.4</v>
      </c>
      <c r="L117" s="12" t="inlineStr">
        <is>
          <t>по договору ИР-19008/20 от 20.05.2020 за выкупленные товары согл.сч.№№:38661591 от 23.03.26.</t>
        </is>
      </c>
    </row>
    <row r="118">
      <c r="A118" s="30" t="inlineStr">
        <is>
          <t>2026-03-25</t>
        </is>
      </c>
      <c r="B118" s="30" t="inlineStr">
        <is>
          <t>25</t>
        </is>
      </c>
      <c r="C118" s="31" t="inlineStr">
        <is>
          <t>Кулинич Олег Александрович</t>
        </is>
      </c>
      <c r="D118" s="31" t="inlineStr">
        <is>
          <t>504508311590</t>
        </is>
      </c>
      <c r="E118" s="30" t="inlineStr">
        <is>
          <t>opex</t>
        </is>
      </c>
      <c r="F118" s="31" t="inlineStr">
        <is>
          <t>opex.salary</t>
        </is>
      </c>
      <c r="G118" s="32" t="n">
        <v>14913.86</v>
      </c>
      <c r="J118" s="32" t="n">
        <v>0</v>
      </c>
      <c r="K118" s="32" t="n">
        <v>14913.86</v>
      </c>
      <c r="L118" s="12" t="inlineStr">
        <is>
          <t>Для зачисления на счет Кулинича Олега Александровича Заработная плата за Март 2026 г. Сумма 14913-86 Без налога (НДС)</t>
        </is>
      </c>
    </row>
    <row r="119">
      <c r="A119" s="30" t="inlineStr">
        <is>
          <t>2026-03-25</t>
        </is>
      </c>
      <c r="B119" s="30" t="inlineStr">
        <is>
          <t>27</t>
        </is>
      </c>
      <c r="C119" s="31" t="inlineStr">
        <is>
          <t>ООО "АВТОЛИЗИНГ"</t>
        </is>
      </c>
      <c r="D119" s="31" t="inlineStr">
        <is>
          <t>7705357845</t>
        </is>
      </c>
      <c r="E119" s="30" t="inlineStr">
        <is>
          <t>opex</t>
        </is>
      </c>
      <c r="F119" s="31" t="inlineStr">
        <is>
          <t>opex.leasing_auto</t>
        </is>
      </c>
      <c r="G119" s="32" t="n">
        <v>100040</v>
      </c>
      <c r="I119" s="33" t="n">
        <v>0.22</v>
      </c>
      <c r="J119" s="32" t="n">
        <v>18040</v>
      </c>
      <c r="K119" s="32" t="n">
        <v>82000</v>
      </c>
      <c r="L119" s="12" t="inlineStr">
        <is>
          <t>Лизинговый платеж по договору № AA012365184 от 23.06.2023 г. в т.ч. НДС 22% 18040.00</t>
        </is>
      </c>
    </row>
    <row r="120">
      <c r="A120" s="30" t="inlineStr">
        <is>
          <t>2026-03-25</t>
        </is>
      </c>
      <c r="B120" s="30" t="inlineStr">
        <is>
          <t>832534</t>
        </is>
      </c>
      <c r="C120" s="31" t="inlineStr">
        <is>
          <t>ООО Интернет Решения</t>
        </is>
      </c>
      <c r="D120" s="31" t="inlineStr">
        <is>
          <t>7704217370</t>
        </is>
      </c>
      <c r="E120" s="30" t="inlineStr">
        <is>
          <t>revenue</t>
        </is>
      </c>
      <c r="F120" s="31" t="inlineStr">
        <is>
          <t>revenue.marketplace_ozon</t>
        </is>
      </c>
      <c r="H120" s="32" t="n">
        <v>1862.37</v>
      </c>
      <c r="I120" s="33" t="n">
        <v>0.2</v>
      </c>
      <c r="J120" s="32" t="n">
        <v>310.4</v>
      </c>
      <c r="K120" s="32" t="n">
        <v>1551.97</v>
      </c>
      <c r="L120" s="12" t="inlineStr">
        <is>
          <t>Оплата за тов. по дог. ИР-19008/20 от 20.05.2020 согл.сч.№№:37525048 от 02.03.26.</t>
        </is>
      </c>
    </row>
    <row r="121">
      <c r="A121" s="30" t="inlineStr">
        <is>
          <t>2026-03-30</t>
        </is>
      </c>
      <c r="B121" s="30" t="inlineStr">
        <is>
          <t>30</t>
        </is>
      </c>
      <c r="C121" s="31" t="inlineStr">
        <is>
          <t>ИП ЗАРЕЦКИЙ АЛЕКСЕЙ АЛЕКСАНДРОВИЧ</t>
        </is>
      </c>
      <c r="D121" s="31" t="inlineStr">
        <is>
          <t>771997056186</t>
        </is>
      </c>
      <c r="E121" s="30" t="inlineStr">
        <is>
          <t>opex</t>
        </is>
      </c>
      <c r="F121" s="31" t="inlineStr">
        <is>
          <t>opex.rent</t>
        </is>
      </c>
      <c r="G121" s="32" t="n">
        <v>1600</v>
      </c>
      <c r="I121" s="33" t="n">
        <v>0.05</v>
      </c>
      <c r="J121" s="32" t="n">
        <v>76.19</v>
      </c>
      <c r="K121" s="32" t="n">
        <v>1523.81</v>
      </c>
      <c r="L121" s="12" t="inlineStr">
        <is>
          <t>Оплата по счету № 4639 от 16.03.26 г. за аренду антенного комплекса за апрель 2026 г. договор 79982/А от 16.07.2025 в т.ч. НДС 5% 76.19</t>
        </is>
      </c>
    </row>
    <row r="122">
      <c r="A122" s="30" t="inlineStr">
        <is>
          <t>2026-03-30</t>
        </is>
      </c>
      <c r="B122" s="30" t="inlineStr">
        <is>
          <t>31</t>
        </is>
      </c>
      <c r="C122" s="31" t="inlineStr">
        <is>
          <t>ИП ЗАРЕЦКИЙ АЛЕКСЕЙ АЛЕКСАНДРОВИЧ</t>
        </is>
      </c>
      <c r="D122" s="31" t="inlineStr">
        <is>
          <t>771997056186</t>
        </is>
      </c>
      <c r="E122" s="30" t="inlineStr">
        <is>
          <t>opex</t>
        </is>
      </c>
      <c r="F122" s="31" t="inlineStr">
        <is>
          <t>opex.rent</t>
        </is>
      </c>
      <c r="G122" s="32" t="n">
        <v>4400</v>
      </c>
      <c r="I122" s="33" t="n">
        <v>0.05</v>
      </c>
      <c r="J122" s="32" t="n">
        <v>209.52</v>
      </c>
      <c r="K122" s="32" t="n">
        <v>4190.48</v>
      </c>
      <c r="L122" s="12" t="inlineStr">
        <is>
          <t>Оплата по счету № 5609 от 16.03.26 г. за услуги по техническому обслуживанию оборудования для доступа к сети Интернет за апрель 2026 г. договор 79982/О от 16.07.2025 в т.ч. НДС 5% 209.52</t>
        </is>
      </c>
    </row>
    <row r="123">
      <c r="A123" s="30" t="inlineStr">
        <is>
          <t>2026-03-31</t>
        </is>
      </c>
      <c r="B123" s="30" t="inlineStr">
        <is>
          <t>25</t>
        </is>
      </c>
      <c r="C123" s="31" t="inlineStr">
        <is>
          <t>ООО "ЭЛИОН"</t>
        </is>
      </c>
      <c r="D123" s="31" t="inlineStr">
        <is>
          <t>9728157660</t>
        </is>
      </c>
      <c r="E123" s="30" t="inlineStr">
        <is>
          <t>revenue</t>
        </is>
      </c>
      <c r="F123" s="31" t="inlineStr">
        <is>
          <t>revenue.direct_b2b</t>
        </is>
      </c>
      <c r="H123" s="32" t="n">
        <v>200000</v>
      </c>
      <c r="I123" s="33" t="n">
        <v>0.22</v>
      </c>
      <c r="J123" s="32" t="n">
        <v>36065.57</v>
      </c>
      <c r="K123" s="32" t="n">
        <v>163934.43</v>
      </c>
      <c r="L123" s="12" t="inlineStr">
        <is>
          <t>Оплата за товар. Сумма 90000-00 в т.ч. НДС 22% 36065.57</t>
        </is>
      </c>
    </row>
    <row r="124">
      <c r="A124" s="30" t="inlineStr">
        <is>
          <t>2026-03-31</t>
        </is>
      </c>
      <c r="B124" s="30" t="inlineStr">
        <is>
          <t>27</t>
        </is>
      </c>
      <c r="C124" s="31" t="inlineStr">
        <is>
          <t>Казначейство России (ФНС России)</t>
        </is>
      </c>
      <c r="D124" s="31" t="inlineStr">
        <is>
          <t>7727406020</t>
        </is>
      </c>
      <c r="E124" s="30" t="inlineStr">
        <is>
          <t>tax</t>
        </is>
      </c>
      <c r="F124" s="31" t="inlineStr">
        <is>
          <t>tax.fns</t>
        </is>
      </c>
      <c r="G124" s="32" t="n">
        <v>42278.36</v>
      </c>
      <c r="J124" s="32" t="n">
        <v>0</v>
      </c>
      <c r="K124" s="32" t="n">
        <v>42278.36</v>
      </c>
      <c r="L124" s="12" t="inlineStr">
        <is>
          <t>Единый налоговый платеж</t>
        </is>
      </c>
    </row>
    <row r="125">
      <c r="A125" s="30" t="inlineStr">
        <is>
          <t>2026-03-31</t>
        </is>
      </c>
      <c r="B125" s="30" t="inlineStr">
        <is>
          <t>34</t>
        </is>
      </c>
      <c r="C125" s="31" t="inlineStr">
        <is>
          <t>ООО "МАНГО ТЕЛЕКОМ"</t>
        </is>
      </c>
      <c r="D125" s="31" t="inlineStr">
        <is>
          <t>7709501144</t>
        </is>
      </c>
      <c r="E125" s="30" t="inlineStr">
        <is>
          <t>opex</t>
        </is>
      </c>
      <c r="F125" s="31" t="inlineStr">
        <is>
          <t>opex.telecom</t>
        </is>
      </c>
      <c r="G125" s="32" t="n">
        <v>7000</v>
      </c>
      <c r="I125" s="33" t="n">
        <v>0.22</v>
      </c>
      <c r="J125" s="32" t="n">
        <v>1262.3</v>
      </c>
      <c r="K125" s="32" t="n">
        <v>5737.7</v>
      </c>
      <c r="L125" s="12" t="inlineStr">
        <is>
          <t>Оплата телекоммуникационных услуг связи по Счету ММС#603018003 от 30.03.2026г. Номер лицевого счета 16809022. в т.ч. НДС 22% 1262.30</t>
        </is>
      </c>
    </row>
    <row r="126">
      <c r="A126" s="30" t="inlineStr">
        <is>
          <t>2026-03-31</t>
        </is>
      </c>
      <c r="B126" s="30" t="inlineStr">
        <is>
          <t>41</t>
        </is>
      </c>
      <c r="C126" s="31" t="inlineStr">
        <is>
          <t>ИП Мельникова Наталия Вячеславовна</t>
        </is>
      </c>
      <c r="D126" s="31" t="inlineStr">
        <is>
          <t>504109335630</t>
        </is>
      </c>
      <c r="E126" s="30" t="inlineStr">
        <is>
          <t>opex</t>
        </is>
      </c>
      <c r="F126" s="31" t="inlineStr">
        <is>
          <t>opex.accounting</t>
        </is>
      </c>
      <c r="G126" s="32" t="n">
        <v>32700</v>
      </c>
      <c r="J126" s="32" t="n">
        <v>0</v>
      </c>
      <c r="K126" s="32" t="n">
        <v>32700</v>
      </c>
      <c r="L126" s="12" t="inlineStr">
        <is>
          <t>Оплата по договору № Т26 от 12.01.26 г. за бухгалтерские услуги за январь 26 г. Сумма 32700-00 Без налога (НДС)</t>
        </is>
      </c>
    </row>
    <row r="127">
      <c r="A127" s="30" t="inlineStr">
        <is>
          <t>2026-03-31</t>
        </is>
      </c>
      <c r="B127" s="30" t="inlineStr">
        <is>
          <t>46</t>
        </is>
      </c>
      <c r="C127" s="31" t="inlineStr">
        <is>
          <t>ОБЩЕСТВО С ОГРАНИЧЕННОЙ ОТВЕТСТВЕННОСТЬЮ "КОММУНАЛЬНИК"</t>
        </is>
      </c>
      <c r="D127" s="31" t="inlineStr">
        <is>
          <t>7730714642</t>
        </is>
      </c>
      <c r="E127" s="30" t="inlineStr">
        <is>
          <t>opex</t>
        </is>
      </c>
      <c r="F127" s="31" t="inlineStr">
        <is>
          <t>opex.utilities</t>
        </is>
      </c>
      <c r="G127" s="32" t="n">
        <v>35000</v>
      </c>
      <c r="J127" s="32" t="n">
        <v>0</v>
      </c>
      <c r="K127" s="32" t="n">
        <v>35000</v>
      </c>
      <c r="L127" s="12" t="inlineStr">
        <is>
          <t>Оплата по счету № 27 от 01.04.2026 за предоставление в аренду помещения по ДС №2 от 01.04.2026 г . к Дог. №1 от 01.01.2026г. за апрель 2026 г Сумма 35000-00 Без налога (НДС)</t>
        </is>
      </c>
    </row>
    <row r="128">
      <c r="A128" s="30" t="inlineStr">
        <is>
          <t>2026-03-31</t>
        </is>
      </c>
      <c r="B128" s="30" t="inlineStr">
        <is>
          <t>47</t>
        </is>
      </c>
      <c r="C128" s="31" t="inlineStr">
        <is>
          <t>ОБЩЕСТВО С ОГРАНИЧЕННОЙ ОТВЕТСТВЕННОСТЬЮ "КОММУНАЛЬНИК"</t>
        </is>
      </c>
      <c r="D128" s="31" t="inlineStr">
        <is>
          <t>7730714642</t>
        </is>
      </c>
      <c r="E128" s="30" t="inlineStr">
        <is>
          <t>opex</t>
        </is>
      </c>
      <c r="F128" s="31" t="inlineStr">
        <is>
          <t>opex.utilities</t>
        </is>
      </c>
      <c r="G128" s="32" t="n">
        <v>6197</v>
      </c>
      <c r="J128" s="32" t="n">
        <v>0</v>
      </c>
      <c r="K128" s="32" t="n">
        <v>6197</v>
      </c>
      <c r="L128" s="12" t="inlineStr">
        <is>
          <t>Оплата по счету № 28 от 01.04.2026 за коммунальные услуги по ДС №1 к Дог. №1 от 01.01.2026г. за апрель 2026 г . Сумма 6197-00 Без налога (НДС)</t>
        </is>
      </c>
    </row>
    <row r="129">
      <c r="A129" s="30" t="inlineStr">
        <is>
          <t>2026-04-01</t>
        </is>
      </c>
      <c r="B129" s="30" t="inlineStr">
        <is>
          <t>129156</t>
        </is>
      </c>
      <c r="C129" s="31" t="inlineStr">
        <is>
          <t>ООО "Банк Точка"</t>
        </is>
      </c>
      <c r="D129" s="31" t="inlineStr">
        <is>
          <t>9721194461</t>
        </is>
      </c>
      <c r="E129" s="30" t="inlineStr">
        <is>
          <t>opex</t>
        </is>
      </c>
      <c r="F129" s="31" t="inlineStr">
        <is>
          <t>opex.bank_fees</t>
        </is>
      </c>
      <c r="G129" s="32" t="n">
        <v>3340</v>
      </c>
      <c r="J129" s="32" t="n">
        <v>0</v>
      </c>
      <c r="K129" s="32" t="n">
        <v>3340</v>
      </c>
      <c r="L129" s="12" t="inlineStr">
        <is>
          <t>Оплата пакета услуг по Подписке Плюс за апрель 2026, согласно разделу 11 Общих положений Правил банковского обслуживания. НДС не предусмотрен.</t>
        </is>
      </c>
    </row>
    <row r="130">
      <c r="A130" s="30" t="inlineStr">
        <is>
          <t>2026-04-01</t>
        </is>
      </c>
      <c r="B130" s="30" t="inlineStr">
        <is>
          <t>213916</t>
        </is>
      </c>
      <c r="C130" s="31" t="inlineStr">
        <is>
          <t>ООО "Банк Точка"</t>
        </is>
      </c>
      <c r="D130" s="31" t="inlineStr">
        <is>
          <t>9721194461</t>
        </is>
      </c>
      <c r="E130" s="30" t="inlineStr">
        <is>
          <t>opex</t>
        </is>
      </c>
      <c r="F130" s="31" t="inlineStr">
        <is>
          <t>opex.bank_fees</t>
        </is>
      </c>
      <c r="G130" s="32" t="n">
        <v>950</v>
      </c>
      <c r="J130" s="32" t="n">
        <v>0</v>
      </c>
      <c r="K130" s="32" t="n">
        <v>950</v>
      </c>
      <c r="L130" s="12" t="inlineStr">
        <is>
          <t>Оплата лицензионного вознаграждения за использование базовой лицензии ПК Сервис Точка по тариф.пакету «Начало» за период с 01.04.26 по 30.04.26. Согласно Правилам ДО. НДС не предусмотрен.</t>
        </is>
      </c>
    </row>
    <row r="131">
      <c r="A131" s="30" t="inlineStr">
        <is>
          <t>2026-04-01</t>
        </is>
      </c>
      <c r="B131" s="30" t="inlineStr">
        <is>
          <t>37</t>
        </is>
      </c>
      <c r="C131" s="31" t="inlineStr">
        <is>
          <t>Кулинич Олег Александрович</t>
        </is>
      </c>
      <c r="D131" s="31" t="inlineStr">
        <is>
          <t>504508311590</t>
        </is>
      </c>
      <c r="E131" s="30" t="inlineStr">
        <is>
          <t>opex</t>
        </is>
      </c>
      <c r="F131" s="31" t="inlineStr">
        <is>
          <t>opex.salary</t>
        </is>
      </c>
      <c r="G131" s="32" t="n">
        <v>19886.14</v>
      </c>
      <c r="J131" s="32" t="n">
        <v>0</v>
      </c>
      <c r="K131" s="32" t="n">
        <v>19886.14</v>
      </c>
      <c r="L131" s="12" t="inlineStr">
        <is>
          <t>Для зачисления на счет Кулинича Олега Александровича Заработная плата за Март 2026 г. Сумма 19886-14 Без налога (НДС)</t>
        </is>
      </c>
    </row>
    <row r="132">
      <c r="A132" s="30" t="inlineStr">
        <is>
          <t>2026-04-01</t>
        </is>
      </c>
      <c r="B132" s="30" t="inlineStr">
        <is>
          <t>38</t>
        </is>
      </c>
      <c r="C132" s="31" t="inlineStr">
        <is>
          <t>Тарасова Дарья Владимировна</t>
        </is>
      </c>
      <c r="D132" s="31" t="inlineStr">
        <is>
          <t>771570635287</t>
        </is>
      </c>
      <c r="E132" s="30" t="inlineStr">
        <is>
          <t>opex</t>
        </is>
      </c>
      <c r="F132" s="31" t="inlineStr">
        <is>
          <t>opex.salary</t>
        </is>
      </c>
      <c r="G132" s="32" t="n">
        <v>40020</v>
      </c>
      <c r="J132" s="32" t="n">
        <v>0</v>
      </c>
      <c r="K132" s="32" t="n">
        <v>40020</v>
      </c>
      <c r="L132" s="12" t="inlineStr">
        <is>
          <t>Для зачисления на счет Тарасовой Дарьи Владимировны Заработная плата за Март 2026 г. Сумма 40020-00 Без налога (НДС)</t>
        </is>
      </c>
    </row>
    <row r="133">
      <c r="A133" s="30" t="inlineStr">
        <is>
          <t>2026-04-01</t>
        </is>
      </c>
      <c r="B133" s="30" t="inlineStr">
        <is>
          <t>39</t>
        </is>
      </c>
      <c r="C133" s="31" t="inlineStr">
        <is>
          <t>Казначейство России (ФНС России)</t>
        </is>
      </c>
      <c r="D133" s="31" t="inlineStr">
        <is>
          <t>7727406020</t>
        </is>
      </c>
      <c r="E133" s="30" t="inlineStr">
        <is>
          <t>tax</t>
        </is>
      </c>
      <c r="F133" s="31" t="inlineStr">
        <is>
          <t>tax.fns</t>
        </is>
      </c>
      <c r="G133" s="32" t="n">
        <v>8403</v>
      </c>
      <c r="J133" s="32" t="n">
        <v>0</v>
      </c>
      <c r="K133" s="32" t="n">
        <v>8403</v>
      </c>
      <c r="L133" s="12" t="inlineStr">
        <is>
          <t>ЕНП</t>
        </is>
      </c>
    </row>
    <row r="134">
      <c r="A134" s="30" t="inlineStr">
        <is>
          <t>2026-04-01</t>
        </is>
      </c>
      <c r="B134" s="30" t="inlineStr">
        <is>
          <t>40</t>
        </is>
      </c>
      <c r="C134" s="31" t="inlineStr">
        <is>
          <t>УФК по г. Москве (ОСФР по г. Москве и Московской области, л/с 04734Ф73010)</t>
        </is>
      </c>
      <c r="D134" s="31" t="inlineStr">
        <is>
          <t>7703363868</t>
        </is>
      </c>
      <c r="E134" s="30" t="inlineStr">
        <is>
          <t>tax</t>
        </is>
      </c>
      <c r="F134" s="31" t="inlineStr">
        <is>
          <t>tax.social</t>
        </is>
      </c>
      <c r="G134" s="32" t="n">
        <v>482</v>
      </c>
      <c r="J134" s="32" t="n">
        <v>0</v>
      </c>
      <c r="K134" s="32" t="n">
        <v>482</v>
      </c>
      <c r="L134" s="12" t="inlineStr">
        <is>
          <t>Взносы на обязательное страхование от несчастных случаев. Регистрационный номер в СФР 1111969745</t>
        </is>
      </c>
    </row>
    <row r="135">
      <c r="A135" s="30" t="inlineStr">
        <is>
          <t>2026-04-01</t>
        </is>
      </c>
      <c r="B135" s="30" t="inlineStr">
        <is>
          <t>49</t>
        </is>
      </c>
      <c r="C135" s="31" t="inlineStr">
        <is>
          <t>ПАО "ЛК "ЕВРОПЛАН"</t>
        </is>
      </c>
      <c r="D135" s="31" t="inlineStr">
        <is>
          <t>9705101614</t>
        </is>
      </c>
      <c r="E135" s="30" t="inlineStr">
        <is>
          <t>opex</t>
        </is>
      </c>
      <c r="F135" s="31" t="inlineStr">
        <is>
          <t>opex.leasing_auto</t>
        </is>
      </c>
      <c r="G135" s="32" t="n">
        <v>23415.11</v>
      </c>
      <c r="I135" s="33" t="n">
        <v>0.22</v>
      </c>
      <c r="J135" s="32" t="n">
        <v>4222</v>
      </c>
      <c r="K135" s="32" t="n">
        <v>19193.11</v>
      </c>
      <c r="L135" s="12" t="inlineStr">
        <is>
          <t>Оплата по счету № AB049677207 от 01.04.26 за за топливо по договору № AB049677207 от 11 сентября 2025г. Сумма 23415-11 В т.ч. НДС (22%) 4222-40</t>
        </is>
      </c>
    </row>
    <row r="136">
      <c r="A136" s="30" t="inlineStr">
        <is>
          <t>2026-04-01</t>
        </is>
      </c>
      <c r="B136" s="30" t="inlineStr">
        <is>
          <t>50</t>
        </is>
      </c>
      <c r="C136" s="31" t="inlineStr">
        <is>
          <t>Синельников Михаил Юрьевич</t>
        </is>
      </c>
      <c r="D136" s="31" t="inlineStr">
        <is>
          <t>230210214726</t>
        </is>
      </c>
      <c r="E136" s="30" t="inlineStr">
        <is>
          <t>cogs</t>
        </is>
      </c>
      <c r="F136" s="31" t="inlineStr">
        <is>
          <t>cogs.manufacturing</t>
        </is>
      </c>
      <c r="G136" s="32" t="n">
        <v>825000</v>
      </c>
      <c r="J136" s="32" t="n">
        <v>0</v>
      </c>
      <c r="K136" s="32" t="n">
        <v>825000</v>
      </c>
      <c r="L136" s="12" t="inlineStr">
        <is>
          <t>Оплата по счету № 27884673 от 01.04.26 за изготовление рассекателей воздуха. Сумма 825000-00 Без налога (НДС)</t>
        </is>
      </c>
    </row>
    <row r="137">
      <c r="A137" s="30" t="inlineStr">
        <is>
          <t>2026-04-01</t>
        </is>
      </c>
      <c r="B137" s="30" t="inlineStr">
        <is>
          <t>51</t>
        </is>
      </c>
      <c r="C137" s="31" t="inlineStr">
        <is>
          <t>ООО "ТЕХСОЛ"</t>
        </is>
      </c>
      <c r="D137" s="31" t="inlineStr">
        <is>
          <t>7725816938</t>
        </is>
      </c>
      <c r="E137" s="30" t="inlineStr">
        <is>
          <t>internal_transfer</t>
        </is>
      </c>
      <c r="F137" s="31" t="inlineStr">
        <is>
          <t>internal_transfer</t>
        </is>
      </c>
      <c r="H137" s="32" t="n">
        <v>825000</v>
      </c>
      <c r="J137" s="32" t="n">
        <v>0</v>
      </c>
      <c r="K137" s="32" t="n">
        <v>825000</v>
      </c>
      <c r="L137" s="12" t="inlineStr">
        <is>
          <t>ПЕРЕВОД МЕЖДУ СЧЕТАМИ ООО. НДС НЕ ОБЛАГАЕТСЯ</t>
        </is>
      </c>
    </row>
    <row r="138">
      <c r="A138" s="30" t="inlineStr">
        <is>
          <t>2026-04-01</t>
        </is>
      </c>
      <c r="B138" s="30" t="inlineStr">
        <is>
          <t>530291</t>
        </is>
      </c>
      <c r="C138" s="31" t="inlineStr">
        <is>
          <t>ОБЩЕСТВО С ОГРАНИЧЕННОЙ ОТВЕТСТВЕННОСТЬЮ "ИНТЕРНЕТ РЕШЕНИЯ"</t>
        </is>
      </c>
      <c r="D138" s="31" t="inlineStr">
        <is>
          <t>7704217370</t>
        </is>
      </c>
      <c r="E138" s="30" t="inlineStr">
        <is>
          <t>revenue</t>
        </is>
      </c>
      <c r="F138" s="31" t="inlineStr">
        <is>
          <t>revenue.marketplace_ozon</t>
        </is>
      </c>
      <c r="H138" s="32" t="n">
        <v>20030.79</v>
      </c>
      <c r="I138" s="33" t="n">
        <v>0.2</v>
      </c>
      <c r="J138" s="32" t="n">
        <v>3338.47</v>
      </c>
      <c r="K138" s="32" t="n">
        <v>16692.32</v>
      </c>
      <c r="L138" s="12" t="inlineStr">
        <is>
          <t>Оплата за тов. по дог. ИР-19008/20 от 20.05.2020 согл.сч.№№:37940990 от 09.03.26.</t>
        </is>
      </c>
    </row>
    <row r="139">
      <c r="A139" s="30" t="inlineStr">
        <is>
          <t>2026-04-02</t>
        </is>
      </c>
      <c r="B139" s="30" t="inlineStr">
        <is>
          <t>25</t>
        </is>
      </c>
      <c r="C139" s="31" t="inlineStr">
        <is>
          <t>ООО "ЭЛИОН"</t>
        </is>
      </c>
      <c r="D139" s="31" t="inlineStr">
        <is>
          <t>9728157660</t>
        </is>
      </c>
      <c r="E139" s="30" t="inlineStr">
        <is>
          <t>revenue</t>
        </is>
      </c>
      <c r="F139" s="31" t="inlineStr">
        <is>
          <t>revenue.direct_b2b</t>
        </is>
      </c>
      <c r="H139" s="32" t="n">
        <v>90000</v>
      </c>
      <c r="I139" s="33" t="n">
        <v>0.22</v>
      </c>
      <c r="J139" s="32" t="n">
        <v>16229.51</v>
      </c>
      <c r="K139" s="32" t="n">
        <v>73770.49000000001</v>
      </c>
      <c r="L139" s="12" t="inlineStr">
        <is>
          <t>Оплата за товар. Сумма 90000-00 в т.ч. НДС 22% 16229.51</t>
        </is>
      </c>
    </row>
    <row r="140">
      <c r="A140" s="30" t="inlineStr">
        <is>
          <t>2026-04-02</t>
        </is>
      </c>
      <c r="B140" s="30" t="inlineStr">
        <is>
          <t>51</t>
        </is>
      </c>
      <c r="C140" s="31" t="inlineStr">
        <is>
          <t>Индивидуальный предприниматель Халатник Николай Владимирович</t>
        </is>
      </c>
      <c r="D140" s="31" t="inlineStr">
        <is>
          <t>772074981250</t>
        </is>
      </c>
      <c r="E140" s="30" t="inlineStr">
        <is>
          <t>opex</t>
        </is>
      </c>
      <c r="F140" s="31" t="inlineStr">
        <is>
          <t>opex.transport</t>
        </is>
      </c>
      <c r="G140" s="32" t="n">
        <v>60000</v>
      </c>
      <c r="J140" s="32" t="n">
        <v>0</v>
      </c>
      <c r="K140" s="32" t="n">
        <v>60000</v>
      </c>
      <c r="L140" s="12" t="inlineStr">
        <is>
          <t>Оказание транспортных услуг по перевозке грузов по договору 07102021ХА от 07.10.2021 без НДС</t>
        </is>
      </c>
    </row>
    <row r="141">
      <c r="A141" s="30" t="inlineStr">
        <is>
          <t>2026-04-02</t>
        </is>
      </c>
      <c r="B141" s="30" t="inlineStr">
        <is>
          <t>52</t>
        </is>
      </c>
      <c r="C141" s="31" t="inlineStr">
        <is>
          <t>Индивидуальный предприниматель Халатник Николай Владимирович</t>
        </is>
      </c>
      <c r="D141" s="31" t="inlineStr">
        <is>
          <t>772074981250</t>
        </is>
      </c>
      <c r="E141" s="30" t="inlineStr">
        <is>
          <t>opex</t>
        </is>
      </c>
      <c r="F141" s="31" t="inlineStr">
        <is>
          <t>opex.transport</t>
        </is>
      </c>
      <c r="G141" s="32" t="n">
        <v>90000</v>
      </c>
      <c r="J141" s="32" t="n">
        <v>0</v>
      </c>
      <c r="K141" s="32" t="n">
        <v>90000</v>
      </c>
      <c r="L141" s="12" t="inlineStr">
        <is>
          <t>Оказание транспортных услуг по перевозке грузов по договору 07102021ХА от 07.10.2021 без НДС</t>
        </is>
      </c>
    </row>
    <row r="142">
      <c r="A142" s="30" t="inlineStr">
        <is>
          <t>2026-04-08</t>
        </is>
      </c>
      <c r="B142" s="30" t="inlineStr">
        <is>
          <t>29</t>
        </is>
      </c>
      <c r="C142" s="31" t="inlineStr">
        <is>
          <t>ООО "ЭЛИОН"</t>
        </is>
      </c>
      <c r="D142" s="31" t="inlineStr">
        <is>
          <t>9728157660</t>
        </is>
      </c>
      <c r="E142" s="30" t="inlineStr">
        <is>
          <t>revenue</t>
        </is>
      </c>
      <c r="F142" s="31" t="inlineStr">
        <is>
          <t>revenue.direct_b2b</t>
        </is>
      </c>
      <c r="H142" s="32" t="n">
        <v>100000</v>
      </c>
      <c r="I142" s="33" t="n">
        <v>0.22</v>
      </c>
      <c r="J142" s="32" t="n">
        <v>18032.79</v>
      </c>
      <c r="K142" s="32" t="n">
        <v>81967.21000000001</v>
      </c>
      <c r="L142" s="12" t="inlineStr">
        <is>
          <t>Оплата за товар. Сумма 100000-00 в т.ч. НДС 22% 18032.79</t>
        </is>
      </c>
    </row>
    <row r="143">
      <c r="A143" s="30" t="inlineStr">
        <is>
          <t>2026-04-08</t>
        </is>
      </c>
      <c r="B143" s="30" t="inlineStr">
        <is>
          <t>53</t>
        </is>
      </c>
      <c r="C143" s="31" t="inlineStr">
        <is>
          <t>ИП ЗАРЕЦКИЙ АЛЕКСЕЙ АЛЕКСАНДРОВИЧ</t>
        </is>
      </c>
      <c r="D143" s="31" t="inlineStr">
        <is>
          <t>771997056186</t>
        </is>
      </c>
      <c r="E143" s="30" t="inlineStr">
        <is>
          <t>opex</t>
        </is>
      </c>
      <c r="F143" s="31" t="inlineStr">
        <is>
          <t>opex.rent</t>
        </is>
      </c>
      <c r="G143" s="32" t="n">
        <v>1600</v>
      </c>
      <c r="I143" s="33" t="n">
        <v>0.05</v>
      </c>
      <c r="J143" s="32" t="n">
        <v>76</v>
      </c>
      <c r="K143" s="32" t="n">
        <v>1524</v>
      </c>
      <c r="L143" s="12" t="inlineStr">
        <is>
          <t>Оплата по счету № 4639 от 16 марта 2026 г. за аренду антенного комплекса за апрель 2026г. Сумма 1600-00 В т.ч. НДС (5%) 76-19</t>
        </is>
      </c>
    </row>
    <row r="144">
      <c r="A144" s="30" t="inlineStr">
        <is>
          <t>2026-04-08</t>
        </is>
      </c>
      <c r="B144" s="30" t="inlineStr">
        <is>
          <t>54</t>
        </is>
      </c>
      <c r="C144" s="31" t="inlineStr">
        <is>
          <t>ИП ЗАРЕЦКИЙ АЛЕКСЕЙ АЛЕКСАНДРОВИЧ</t>
        </is>
      </c>
      <c r="D144" s="31" t="inlineStr">
        <is>
          <t>771997056186</t>
        </is>
      </c>
      <c r="E144" s="30" t="inlineStr">
        <is>
          <t>opex</t>
        </is>
      </c>
      <c r="F144" s="31" t="inlineStr">
        <is>
          <t>opex.rent</t>
        </is>
      </c>
      <c r="G144" s="32" t="n">
        <v>4400</v>
      </c>
      <c r="I144" s="33" t="n">
        <v>0.05</v>
      </c>
      <c r="J144" s="32" t="n">
        <v>209</v>
      </c>
      <c r="K144" s="32" t="n">
        <v>4191</v>
      </c>
      <c r="L144" s="12" t="inlineStr">
        <is>
          <t>Оплата по счету № 5609 от 16 марта 2026 г. за услуги по техническому обслуживанию оборудования для доступа к сети Интернет за апрель 2026 г. Сумма 4400-00 В т.ч. НДС (5%) 209-52</t>
        </is>
      </c>
    </row>
    <row r="145">
      <c r="A145" s="30" t="inlineStr">
        <is>
          <t>2026-04-08</t>
        </is>
      </c>
      <c r="B145" s="30" t="inlineStr">
        <is>
          <t>559942</t>
        </is>
      </c>
      <c r="C145" s="31" t="inlineStr">
        <is>
          <t>ООО Интернет Решения</t>
        </is>
      </c>
      <c r="D145" s="31" t="inlineStr">
        <is>
          <t>7704217370</t>
        </is>
      </c>
      <c r="E145" s="30" t="inlineStr">
        <is>
          <t>revenue</t>
        </is>
      </c>
      <c r="F145" s="31" t="inlineStr">
        <is>
          <t>revenue.marketplace_ozon</t>
        </is>
      </c>
      <c r="H145" s="32" t="n">
        <v>2775.33</v>
      </c>
      <c r="I145" s="33" t="n">
        <v>0.2</v>
      </c>
      <c r="J145" s="32" t="n">
        <v>462.56</v>
      </c>
      <c r="K145" s="32" t="n">
        <v>2312.77</v>
      </c>
      <c r="L145" s="12" t="inlineStr">
        <is>
          <t>Оплата за тов. по дог. ИР-19008/20 от 20.05.2020 согл.сч.№№:38314900 от 16.03.26.</t>
        </is>
      </c>
    </row>
    <row r="146">
      <c r="A146" s="30" t="inlineStr">
        <is>
          <t>2026-04-15</t>
        </is>
      </c>
      <c r="B146" s="30" t="inlineStr">
        <is>
          <t>31</t>
        </is>
      </c>
      <c r="C146" s="31" t="inlineStr">
        <is>
          <t>ООО "ЭЛИОН"</t>
        </is>
      </c>
      <c r="D146" s="31" t="inlineStr">
        <is>
          <t>9728157660</t>
        </is>
      </c>
      <c r="E146" s="30" t="inlineStr">
        <is>
          <t>revenue</t>
        </is>
      </c>
      <c r="F146" s="31" t="inlineStr">
        <is>
          <t>revenue.direct_b2b</t>
        </is>
      </c>
      <c r="H146" s="32" t="n">
        <v>200000</v>
      </c>
      <c r="I146" s="33" t="n">
        <v>0.22</v>
      </c>
      <c r="J146" s="32" t="n">
        <v>36065.57</v>
      </c>
      <c r="K146" s="32" t="n">
        <v>163934.43</v>
      </c>
      <c r="L146" s="12" t="inlineStr">
        <is>
          <t>Оплата за товар. Сумма 200000-00 в т.ч. НДС 22% 36065.57</t>
        </is>
      </c>
    </row>
    <row r="147">
      <c r="A147" s="30" t="inlineStr">
        <is>
          <t>2026-04-15</t>
        </is>
      </c>
      <c r="B147" s="30" t="inlineStr">
        <is>
          <t>55</t>
        </is>
      </c>
      <c r="C147" s="31" t="inlineStr">
        <is>
          <t>ПАО "ЛК "ЕВРОПЛАН"</t>
        </is>
      </c>
      <c r="D147" s="31" t="inlineStr">
        <is>
          <t>9705101614</t>
        </is>
      </c>
      <c r="E147" s="30" t="inlineStr">
        <is>
          <t>opex</t>
        </is>
      </c>
      <c r="F147" s="31" t="inlineStr">
        <is>
          <t>opex.leasing_auto</t>
        </is>
      </c>
      <c r="G147" s="32" t="n">
        <v>108092</v>
      </c>
      <c r="I147" s="33" t="n">
        <v>0.22</v>
      </c>
      <c r="J147" s="32" t="n">
        <v>19492</v>
      </c>
      <c r="K147" s="32" t="n">
        <v>88600</v>
      </c>
      <c r="L147" s="12" t="inlineStr">
        <is>
          <t>Лизинговый платёж по договору№ 2784693-ФЛ/ОПП2-21 от 20.08.2021 в т.ч. НДС 22% 19492.00</t>
        </is>
      </c>
    </row>
    <row r="148">
      <c r="A148" s="30" t="inlineStr">
        <is>
          <t>2026-04-16</t>
        </is>
      </c>
      <c r="B148" s="30" t="inlineStr">
        <is>
          <t>34</t>
        </is>
      </c>
      <c r="C148" s="31" t="inlineStr">
        <is>
          <t>ООО "ЭЛИОН"</t>
        </is>
      </c>
      <c r="D148" s="31" t="inlineStr">
        <is>
          <t>9728157660</t>
        </is>
      </c>
      <c r="E148" s="30" t="inlineStr">
        <is>
          <t>revenue</t>
        </is>
      </c>
      <c r="F148" s="31" t="inlineStr">
        <is>
          <t>revenue.direct_b2b</t>
        </is>
      </c>
      <c r="H148" s="32" t="n">
        <v>220000</v>
      </c>
      <c r="I148" s="33" t="n">
        <v>0.22</v>
      </c>
      <c r="J148" s="32" t="n">
        <v>39672.13</v>
      </c>
      <c r="K148" s="32" t="n">
        <v>180327.87</v>
      </c>
      <c r="L148" s="12" t="inlineStr">
        <is>
          <t>Оплата за товар. Сумма 220000-00 в т.ч. НДС 22% 39672.13</t>
        </is>
      </c>
    </row>
    <row r="149">
      <c r="A149" s="30" t="inlineStr">
        <is>
          <t>2026-04-16</t>
        </is>
      </c>
      <c r="B149" s="30" t="inlineStr">
        <is>
          <t>57</t>
        </is>
      </c>
      <c r="C149" s="31" t="inlineStr">
        <is>
          <t>Халатник Николай Владимирович ИП</t>
        </is>
      </c>
      <c r="D149" s="31" t="inlineStr">
        <is>
          <t>772074981250</t>
        </is>
      </c>
      <c r="E149" s="30" t="inlineStr">
        <is>
          <t>opex</t>
        </is>
      </c>
      <c r="F149" s="31" t="inlineStr">
        <is>
          <t>opex.transport</t>
        </is>
      </c>
      <c r="G149" s="32" t="n">
        <v>100000</v>
      </c>
      <c r="J149" s="32" t="n">
        <v>0</v>
      </c>
      <c r="K149" s="32" t="n">
        <v>100000</v>
      </c>
      <c r="L149" s="12" t="inlineStr">
        <is>
          <t>Оказание транспортных услуг по перевозке грузов по договору 07102021ХА от 07.10.2021 без НДС</t>
        </is>
      </c>
    </row>
    <row r="150">
      <c r="A150" s="30" t="inlineStr">
        <is>
          <t>2026-04-16</t>
        </is>
      </c>
      <c r="B150" s="30" t="inlineStr">
        <is>
          <t>58</t>
        </is>
      </c>
      <c r="C150" s="31" t="inlineStr">
        <is>
          <t>ООО "ОВИКОМ"</t>
        </is>
      </c>
      <c r="D150" s="31" t="inlineStr">
        <is>
          <t>9721257369</t>
        </is>
      </c>
      <c r="E150" s="30" t="inlineStr">
        <is>
          <t>opex</t>
        </is>
      </c>
      <c r="F150" s="31" t="inlineStr">
        <is>
          <t>opex.vehicle_maint</t>
        </is>
      </c>
      <c r="G150" s="32" t="n">
        <v>1500</v>
      </c>
      <c r="I150" s="33" t="n">
        <v>0.05</v>
      </c>
      <c r="J150" s="32" t="n">
        <v>71.43000000000001</v>
      </c>
      <c r="K150" s="32" t="n">
        <v>1428.57</v>
      </c>
      <c r="L150" s="12" t="inlineStr">
        <is>
          <t>Оплата по счету № ФМ00000323 от 02.04.2026 за техническое обслуживание и ремонт. в т.ч. НДС 5% 71.43</t>
        </is>
      </c>
    </row>
    <row r="151">
      <c r="A151" s="30" t="inlineStr">
        <is>
          <t>2026-04-16</t>
        </is>
      </c>
      <c r="B151" s="30" t="inlineStr">
        <is>
          <t>59</t>
        </is>
      </c>
      <c r="C151" s="31" t="inlineStr">
        <is>
          <t>Индивидуальный предприниматель Халатник Николай Владимирович</t>
        </is>
      </c>
      <c r="D151" s="31" t="inlineStr">
        <is>
          <t>772074981250</t>
        </is>
      </c>
      <c r="E151" s="30" t="inlineStr">
        <is>
          <t>opex</t>
        </is>
      </c>
      <c r="F151" s="31" t="inlineStr">
        <is>
          <t>opex.transport</t>
        </is>
      </c>
      <c r="G151" s="32" t="n">
        <v>150000</v>
      </c>
      <c r="J151" s="32" t="n">
        <v>0</v>
      </c>
      <c r="K151" s="32" t="n">
        <v>150000</v>
      </c>
      <c r="L151" s="12" t="inlineStr">
        <is>
          <t>Оказание транспортных услуг по перевозке грузов по договору 07102021ХА от 07.10.2021 без НДС</t>
        </is>
      </c>
    </row>
    <row r="152">
      <c r="A152" s="30" t="inlineStr">
        <is>
          <t>2026-04-16</t>
        </is>
      </c>
      <c r="B152" s="30" t="inlineStr">
        <is>
          <t>60</t>
        </is>
      </c>
      <c r="C152" s="31" t="inlineStr">
        <is>
          <t>Индивидуальный предприниматель Халатник Николай Владимирович</t>
        </is>
      </c>
      <c r="D152" s="31" t="inlineStr">
        <is>
          <t>772074981250</t>
        </is>
      </c>
      <c r="E152" s="30" t="inlineStr">
        <is>
          <t>opex</t>
        </is>
      </c>
      <c r="F152" s="31" t="inlineStr">
        <is>
          <t>opex.transport</t>
        </is>
      </c>
      <c r="G152" s="32" t="n">
        <v>150000</v>
      </c>
      <c r="J152" s="32" t="n">
        <v>0</v>
      </c>
      <c r="K152" s="32" t="n">
        <v>150000</v>
      </c>
      <c r="L152" s="12" t="inlineStr">
        <is>
          <t>Оказание транспортных услуг по перевозке грузов по договору 07102021ХА от 07.10.2021 без НДС</t>
        </is>
      </c>
    </row>
    <row r="153">
      <c r="A153" s="30" t="inlineStr">
        <is>
          <t>2026-04-21</t>
        </is>
      </c>
      <c r="B153" s="30" t="inlineStr">
        <is>
          <t>35</t>
        </is>
      </c>
      <c r="C153" s="31" t="inlineStr">
        <is>
          <t>ООО "ЭЛИОН"</t>
        </is>
      </c>
      <c r="D153" s="31" t="inlineStr">
        <is>
          <t>9728157660</t>
        </is>
      </c>
      <c r="E153" s="30" t="inlineStr">
        <is>
          <t>revenue</t>
        </is>
      </c>
      <c r="F153" s="31" t="inlineStr">
        <is>
          <t>revenue.direct_b2b</t>
        </is>
      </c>
      <c r="H153" s="32" t="n">
        <v>200000</v>
      </c>
      <c r="I153" s="33" t="n">
        <v>0.22</v>
      </c>
      <c r="J153" s="32" t="n">
        <v>36065.57</v>
      </c>
      <c r="K153" s="32" t="n">
        <v>163934.43</v>
      </c>
      <c r="L153" s="12" t="inlineStr">
        <is>
          <t>Оплата за товар. Сумма 220000-00 в т.ч. НДС 22% 36065.57</t>
        </is>
      </c>
    </row>
    <row r="154">
      <c r="A154" s="30" t="inlineStr">
        <is>
          <t>2026-04-21</t>
        </is>
      </c>
      <c r="B154" s="30" t="inlineStr">
        <is>
          <t>458796</t>
        </is>
      </c>
      <c r="C154" s="31" t="inlineStr">
        <is>
          <t>ООО Интернет Решения</t>
        </is>
      </c>
      <c r="D154" s="31" t="inlineStr">
        <is>
          <t>7704217370</t>
        </is>
      </c>
      <c r="E154" s="30" t="inlineStr">
        <is>
          <t>revenue</t>
        </is>
      </c>
      <c r="F154" s="31" t="inlineStr">
        <is>
          <t>revenue.marketplace_ozon</t>
        </is>
      </c>
      <c r="H154" s="32" t="n">
        <v>482.56</v>
      </c>
      <c r="I154" s="33" t="n">
        <v>0.2</v>
      </c>
      <c r="J154" s="32" t="n">
        <v>80.43000000000001</v>
      </c>
      <c r="K154" s="32" t="n">
        <v>402.13</v>
      </c>
      <c r="L154" s="12" t="inlineStr">
        <is>
          <t>по договору ИР-19008/20 от 20.05.2020 за выкупленные товары согл.сч.№№:39967728 от 20.04.26.</t>
        </is>
      </c>
    </row>
    <row r="155">
      <c r="A155" s="30" t="inlineStr">
        <is>
          <t>2026-04-21</t>
        </is>
      </c>
      <c r="B155" s="30" t="inlineStr">
        <is>
          <t>56</t>
        </is>
      </c>
      <c r="C155" s="31" t="inlineStr">
        <is>
          <t>ООО "АВТОЛИЗИНГ"</t>
        </is>
      </c>
      <c r="D155" s="31" t="inlineStr">
        <is>
          <t>7705357845</t>
        </is>
      </c>
      <c r="E155" s="30" t="inlineStr">
        <is>
          <t>opex</t>
        </is>
      </c>
      <c r="F155" s="31" t="inlineStr">
        <is>
          <t>opex.leasing_auto</t>
        </is>
      </c>
      <c r="G155" s="32" t="n">
        <v>100040</v>
      </c>
      <c r="I155" s="33" t="n">
        <v>0.22</v>
      </c>
      <c r="J155" s="32" t="n">
        <v>18040</v>
      </c>
      <c r="K155" s="32" t="n">
        <v>82000</v>
      </c>
      <c r="L155" s="12" t="inlineStr">
        <is>
          <t>Лизинговый платеж по договору № AA012365184 от 23.06.2023 г. в т.ч. НДС 22% 18040.00</t>
        </is>
      </c>
    </row>
    <row r="156">
      <c r="A156" s="30" t="inlineStr">
        <is>
          <t>2026-04-23</t>
        </is>
      </c>
      <c r="B156" s="30" t="inlineStr">
        <is>
          <t>62</t>
        </is>
      </c>
      <c r="C156" s="31" t="inlineStr">
        <is>
          <t>ИП Плуталов Александр Александрович</t>
        </is>
      </c>
      <c r="D156" s="31" t="inlineStr">
        <is>
          <t>262902028033</t>
        </is>
      </c>
      <c r="E156" s="30" t="inlineStr">
        <is>
          <t>opex</t>
        </is>
      </c>
      <c r="F156" s="31" t="inlineStr">
        <is>
          <t>opex.shipping</t>
        </is>
      </c>
      <c r="G156" s="32" t="n">
        <v>850</v>
      </c>
      <c r="I156" s="33" t="n">
        <v>0.05</v>
      </c>
      <c r="J156" s="32" t="n">
        <v>40</v>
      </c>
      <c r="K156" s="32" t="n">
        <v>810</v>
      </c>
      <c r="L156" s="12" t="inlineStr">
        <is>
          <t>Оплата по счету № ИПЕ-0447484 от 19 апреля 2026 г., за услуги доставки по договору № ИМ-РФ-ИПЕ-681 от 17 июня 2021 г. Сумма 850-00 В т.ч. НДС (5%) 40-48</t>
        </is>
      </c>
    </row>
    <row r="157">
      <c r="A157" s="30" t="inlineStr">
        <is>
          <t>2026-04-28</t>
        </is>
      </c>
      <c r="B157" s="30" t="inlineStr">
        <is>
          <t>35</t>
        </is>
      </c>
      <c r="C157" s="31" t="inlineStr">
        <is>
          <t>ООО "ЭЛИОН"</t>
        </is>
      </c>
      <c r="D157" s="31" t="inlineStr">
        <is>
          <t>9728157660</t>
        </is>
      </c>
      <c r="E157" s="30" t="inlineStr">
        <is>
          <t>revenue</t>
        </is>
      </c>
      <c r="F157" s="31" t="inlineStr">
        <is>
          <t>revenue.direct_b2b</t>
        </is>
      </c>
      <c r="H157" s="32" t="n">
        <v>200000</v>
      </c>
      <c r="I157" s="33" t="n">
        <v>0.22</v>
      </c>
      <c r="J157" s="32" t="n">
        <v>36065.57</v>
      </c>
      <c r="K157" s="32" t="n">
        <v>163934.43</v>
      </c>
      <c r="L157" s="12" t="inlineStr">
        <is>
          <t>Оплата за товар. Сумма 200000-00 в т.ч. НДС 22% 36065.57</t>
        </is>
      </c>
    </row>
    <row r="158">
      <c r="A158" s="30" t="inlineStr">
        <is>
          <t>2026-04-28</t>
        </is>
      </c>
      <c r="B158" s="30" t="inlineStr">
        <is>
          <t>73</t>
        </is>
      </c>
      <c r="C158" s="31" t="inlineStr">
        <is>
          <t>ООО "ЕВРОПЛАН СЕРВИС"</t>
        </is>
      </c>
      <c r="D158" s="31" t="inlineStr">
        <is>
          <t>7705770795</t>
        </is>
      </c>
      <c r="E158" s="30" t="inlineStr">
        <is>
          <t>opex</t>
        </is>
      </c>
      <c r="F158" s="31" t="inlineStr">
        <is>
          <t>opex.insurance_osago</t>
        </is>
      </c>
      <c r="G158" s="32" t="n">
        <v>49734.48</v>
      </c>
      <c r="J158" s="32" t="n">
        <v>0</v>
      </c>
      <c r="K158" s="32" t="n">
        <v>49734.48</v>
      </c>
      <c r="L158" s="12" t="inlineStr">
        <is>
          <t>Оплата полиса КАСКО АО "СОГАЗ" на ТС JTMCV02J104227355 по счету 1821-82MT7428EVP через уполномоченного агента ООО "ЕВРОПЛАН СЕРВИС". Сумма 49734-48 Без налога (НДС)</t>
        </is>
      </c>
    </row>
    <row r="159">
      <c r="A159" s="30" t="inlineStr">
        <is>
          <t>2026-04-28</t>
        </is>
      </c>
      <c r="B159" s="30" t="inlineStr">
        <is>
          <t>74</t>
        </is>
      </c>
      <c r="C159" s="31" t="inlineStr">
        <is>
          <t>Индивидуальный предприниматель Халатник Николай Владимирович</t>
        </is>
      </c>
      <c r="D159" s="31" t="inlineStr">
        <is>
          <t>772074981250</t>
        </is>
      </c>
      <c r="E159" s="30" t="inlineStr">
        <is>
          <t>opex</t>
        </is>
      </c>
      <c r="F159" s="31" t="inlineStr">
        <is>
          <t>opex.transport</t>
        </is>
      </c>
      <c r="G159" s="32" t="n">
        <v>100000</v>
      </c>
      <c r="J159" s="32" t="n">
        <v>0</v>
      </c>
      <c r="K159" s="32" t="n">
        <v>100000</v>
      </c>
      <c r="L159" s="12" t="inlineStr">
        <is>
          <t>Оказание транспортных услуг по перевозке грузов по договору 07102021ХА от 07.10.2021 без НДС</t>
        </is>
      </c>
    </row>
    <row r="160">
      <c r="A160" s="30" t="inlineStr">
        <is>
          <t>2026-04-28</t>
        </is>
      </c>
      <c r="B160" s="30" t="inlineStr">
        <is>
          <t>75</t>
        </is>
      </c>
      <c r="C160" s="31" t="inlineStr">
        <is>
          <t>Индивидуальный предприниматель Халатник Николай Владимирович</t>
        </is>
      </c>
      <c r="D160" s="31" t="inlineStr">
        <is>
          <t>772074981250</t>
        </is>
      </c>
      <c r="E160" s="30" t="inlineStr">
        <is>
          <t>opex</t>
        </is>
      </c>
      <c r="F160" s="31" t="inlineStr">
        <is>
          <t>opex.transport</t>
        </is>
      </c>
      <c r="G160" s="32" t="n">
        <v>150000</v>
      </c>
      <c r="J160" s="32" t="n">
        <v>0</v>
      </c>
      <c r="K160" s="32" t="n">
        <v>150000</v>
      </c>
      <c r="L160" s="12" t="inlineStr">
        <is>
          <t>Оказание транспортных услуг по перевозке грузов по договору 07102021ХА от 07.10.2021 без НДС</t>
        </is>
      </c>
    </row>
    <row r="161">
      <c r="A161" s="30" t="inlineStr">
        <is>
          <t>2026-04-29</t>
        </is>
      </c>
      <c r="B161" s="30" t="inlineStr">
        <is>
          <t>558587</t>
        </is>
      </c>
      <c r="C161" s="31" t="inlineStr">
        <is>
          <t>ООО Интернет Решения</t>
        </is>
      </c>
      <c r="D161" s="31" t="inlineStr">
        <is>
          <t>7704217370</t>
        </is>
      </c>
      <c r="E161" s="30" t="inlineStr">
        <is>
          <t>revenue</t>
        </is>
      </c>
      <c r="F161" s="31" t="inlineStr">
        <is>
          <t>revenue.marketplace_ozon</t>
        </is>
      </c>
      <c r="H161" s="32" t="n">
        <v>1045.94</v>
      </c>
      <c r="I161" s="33" t="n">
        <v>0.2</v>
      </c>
      <c r="J161" s="32" t="n">
        <v>174.32</v>
      </c>
      <c r="K161" s="32" t="n">
        <v>871.62</v>
      </c>
      <c r="L161" s="12" t="inlineStr">
        <is>
          <t>Оплата за тов. по дог. ИР-19008/20 от 20.05.2020 согл.сч.№№:39044410 от 06.04.26.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2026-05-21T10:53:56Z</dcterms:created>
  <dcterms:modified xsi:type="dcterms:W3CDTF">2026-05-21T10:53:56Z</dcterms:modified>
</cp:coreProperties>
</file>